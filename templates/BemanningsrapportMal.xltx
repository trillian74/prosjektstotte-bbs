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beerenberg.sharepoint.com/sites/pilot/now/Dokumenter/Templates fra Hedda/"/>
    </mc:Choice>
  </mc:AlternateContent>
  <bookViews>
    <workbookView xWindow="972" yWindow="-12" windowWidth="14148" windowHeight="1920"/>
  </bookViews>
  <sheets>
    <sheet name="Bemanning" sheetId="1" r:id="rId1"/>
  </sheets>
  <definedNames>
    <definedName name="_xlnm._FilterDatabase" localSheetId="0" hidden="1">Bemanning!$A$61:$A$72</definedName>
    <definedName name="_xlnm.Print_Area" localSheetId="0">Bemanning!$B:$K</definedName>
  </definedNames>
  <calcPr calcId="171027"/>
</workbook>
</file>

<file path=xl/calcChain.xml><?xml version="1.0" encoding="utf-8"?>
<calcChain xmlns="http://schemas.openxmlformats.org/spreadsheetml/2006/main">
  <c r="E76" i="1" l="1"/>
  <c r="F76" i="1"/>
  <c r="G76" i="1"/>
  <c r="H76" i="1"/>
  <c r="I76" i="1"/>
  <c r="D76" i="1"/>
  <c r="E73" i="1"/>
  <c r="F73" i="1"/>
  <c r="G73" i="1"/>
  <c r="H73" i="1"/>
  <c r="I73" i="1"/>
  <c r="D73" i="1"/>
  <c r="D72" i="1"/>
  <c r="E72" i="1"/>
  <c r="F72" i="1"/>
  <c r="G72" i="1"/>
  <c r="I72" i="1"/>
  <c r="H72" i="1"/>
  <c r="D54" i="1"/>
  <c r="D4" i="1"/>
  <c r="E63" i="1"/>
  <c r="F63" i="1"/>
  <c r="G63" i="1"/>
  <c r="H63" i="1"/>
  <c r="I63" i="1"/>
  <c r="D63" i="1"/>
  <c r="E68" i="1"/>
  <c r="F68" i="1"/>
  <c r="G68" i="1"/>
  <c r="H68" i="1"/>
  <c r="I68" i="1"/>
  <c r="D68" i="1"/>
  <c r="E55" i="1"/>
  <c r="F55" i="1"/>
  <c r="G55" i="1"/>
  <c r="H55" i="1"/>
  <c r="I55" i="1"/>
  <c r="D55" i="1"/>
  <c r="E69" i="1"/>
  <c r="F69" i="1"/>
  <c r="G69" i="1"/>
  <c r="H69" i="1"/>
  <c r="I69" i="1"/>
  <c r="D69" i="1"/>
  <c r="E56" i="1"/>
  <c r="F56" i="1"/>
  <c r="G56" i="1"/>
  <c r="H56" i="1"/>
  <c r="I56" i="1"/>
  <c r="D56" i="1"/>
  <c r="E60" i="1"/>
  <c r="F60" i="1"/>
  <c r="G60" i="1"/>
  <c r="H60" i="1"/>
  <c r="I60" i="1"/>
  <c r="D60" i="1"/>
  <c r="D70" i="1"/>
  <c r="E57" i="1"/>
  <c r="F57" i="1"/>
  <c r="G57" i="1"/>
  <c r="H57" i="1"/>
  <c r="I57" i="1"/>
  <c r="D57" i="1"/>
  <c r="E70" i="1"/>
  <c r="F70" i="1"/>
  <c r="G70" i="1"/>
  <c r="H70" i="1"/>
  <c r="I70" i="1"/>
  <c r="D67" i="1"/>
  <c r="I62" i="1"/>
  <c r="E62" i="1"/>
  <c r="F62" i="1"/>
  <c r="G62" i="1"/>
  <c r="H62" i="1"/>
  <c r="D62" i="1"/>
  <c r="E75" i="1"/>
  <c r="F75" i="1"/>
  <c r="G75" i="1"/>
  <c r="H75" i="1"/>
  <c r="I75" i="1"/>
  <c r="D75" i="1"/>
  <c r="D71" i="1"/>
  <c r="D59" i="1"/>
  <c r="E58" i="1"/>
  <c r="F58" i="1"/>
  <c r="G58" i="1"/>
  <c r="H58" i="1"/>
  <c r="I58" i="1"/>
  <c r="D58" i="1"/>
  <c r="E59" i="1"/>
  <c r="F59" i="1"/>
  <c r="G59" i="1"/>
  <c r="H59" i="1"/>
  <c r="I59" i="1"/>
  <c r="E71" i="1"/>
  <c r="F71" i="1"/>
  <c r="G71" i="1"/>
  <c r="H71" i="1"/>
  <c r="I71" i="1"/>
  <c r="C26" i="1"/>
  <c r="A26" i="1"/>
  <c r="D80" i="1" s="1"/>
  <c r="D77" i="1" l="1"/>
  <c r="D81" i="1" s="1"/>
  <c r="E54" i="1"/>
  <c r="E80" i="1"/>
  <c r="F80" i="1"/>
  <c r="G80" i="1"/>
  <c r="H80" i="1"/>
  <c r="I80" i="1"/>
  <c r="H77" i="1"/>
  <c r="E64" i="1"/>
  <c r="H64" i="1"/>
  <c r="I64" i="1"/>
  <c r="G64" i="1"/>
  <c r="F64" i="1"/>
  <c r="E77" i="1"/>
  <c r="I77" i="1"/>
  <c r="G77" i="1"/>
  <c r="F77" i="1"/>
  <c r="D64" i="1"/>
  <c r="C80" i="1" l="1"/>
  <c r="H81" i="1"/>
  <c r="H8" i="1" s="1"/>
  <c r="I81" i="1"/>
  <c r="I8" i="1" s="1"/>
  <c r="G81" i="1"/>
  <c r="G8" i="1" s="1"/>
  <c r="F81" i="1"/>
  <c r="F8" i="1" s="1"/>
  <c r="E81" i="1"/>
  <c r="E8" i="1" s="1"/>
  <c r="D8" i="1"/>
  <c r="G7" i="1" l="1"/>
  <c r="C81" i="1"/>
  <c r="C8" i="1"/>
  <c r="E67" i="1"/>
  <c r="F54" i="1"/>
  <c r="H7" i="1" l="1"/>
  <c r="F67" i="1"/>
  <c r="I7" i="1" l="1"/>
  <c r="G67" i="1"/>
  <c r="G54" i="1"/>
  <c r="H67" i="1" l="1"/>
  <c r="H54" i="1"/>
  <c r="I54" i="1" l="1"/>
  <c r="I67" i="1"/>
</calcChain>
</file>

<file path=xl/sharedStrings.xml><?xml version="1.0" encoding="utf-8"?>
<sst xmlns="http://schemas.openxmlformats.org/spreadsheetml/2006/main" count="167" uniqueCount="57">
  <si>
    <t xml:space="preserve">6 ukers bemanningsplan </t>
  </si>
  <si>
    <t>Isolatør</t>
  </si>
  <si>
    <t>Industrimaler</t>
  </si>
  <si>
    <t>Industrimaler/PBB</t>
  </si>
  <si>
    <t>TT2</t>
  </si>
  <si>
    <t>Sveisolatoperatør</t>
  </si>
  <si>
    <t>TT3</t>
  </si>
  <si>
    <t>Grunnbemanning</t>
  </si>
  <si>
    <t>D</t>
  </si>
  <si>
    <t>x</t>
  </si>
  <si>
    <t>Reparatør</t>
  </si>
  <si>
    <t>Sikringsleder</t>
  </si>
  <si>
    <t>Inngår i fagbrevdekning</t>
  </si>
  <si>
    <t>Inngår ikke i fagbrevdekning</t>
  </si>
  <si>
    <t>Ekstrabemanning</t>
  </si>
  <si>
    <t>Fagbrevdekning:</t>
  </si>
  <si>
    <t>Totalt</t>
  </si>
  <si>
    <t>ISO-leder</t>
  </si>
  <si>
    <t>Industrimaler/PBB sert/5 års erf</t>
  </si>
  <si>
    <t>Sikringsleder m/fagbrev</t>
  </si>
  <si>
    <t>TT1 m/fagbrev</t>
  </si>
  <si>
    <t>TT2 m/fagbrev</t>
  </si>
  <si>
    <t>TT3 m/fagbrev</t>
  </si>
  <si>
    <t>Kommentar til grunnbemanning</t>
  </si>
  <si>
    <t>Stillas</t>
  </si>
  <si>
    <t>Stillas  m/fagbrev</t>
  </si>
  <si>
    <t>Industrimaler m/fagbrev</t>
  </si>
  <si>
    <t>Isolatør m/fagbrev</t>
  </si>
  <si>
    <t>Kommentar til ekstra bemanning/AO nr seq.nr.</t>
  </si>
  <si>
    <t>Formann ISO</t>
  </si>
  <si>
    <t>Fag-brev</t>
  </si>
  <si>
    <t/>
  </si>
  <si>
    <t>C33SUR</t>
  </si>
  <si>
    <t>C33SCA</t>
  </si>
  <si>
    <t>C33ISU</t>
  </si>
  <si>
    <t>C33CLB</t>
  </si>
  <si>
    <t>Work center</t>
  </si>
  <si>
    <t xml:space="preserve"> </t>
  </si>
  <si>
    <t>C33MAN</t>
  </si>
  <si>
    <t>Antall personer per uke</t>
  </si>
  <si>
    <t>Sum</t>
  </si>
  <si>
    <t>Antall timer per uke</t>
  </si>
  <si>
    <t>Kapasitet per uke</t>
  </si>
  <si>
    <t>Dag/Natt</t>
  </si>
  <si>
    <t>ISO BEMANNINGSRAPPORT</t>
  </si>
  <si>
    <t>UKE</t>
  </si>
  <si>
    <t xml:space="preserve">  </t>
  </si>
  <si>
    <t>C33SPE</t>
  </si>
  <si>
    <t>Arkitekt/innredning</t>
  </si>
  <si>
    <t>Formann stillas</t>
  </si>
  <si>
    <t>n</t>
  </si>
  <si>
    <t>D/N</t>
  </si>
  <si>
    <t>TT1 m/minimum §46, helst fagbrev</t>
  </si>
  <si>
    <t>Entringsvakt</t>
  </si>
  <si>
    <t>Kvote</t>
  </si>
  <si>
    <t xml:space="preserve">PLANT NR </t>
  </si>
  <si>
    <t xml:space="preserve">PROSJEKTNR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</si>
</sst>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sz val="10"/>
      <name val="Arial"/>
      <family val="2"/>
    </font>
    <font>
      <b/>
      <sz val="10"/>
      <name val="Tahoma"/>
      <family val="2"/>
    </font>
    <font>
      <sz val="1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2" fillId="3" borderId="1" xfId="0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left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3" fillId="6" borderId="1" xfId="0" applyFont="1" applyFill="1" applyBorder="1" applyAlignment="1" applyProtection="1">
      <alignment horizontal="center"/>
      <protection locked="0"/>
    </xf>
    <xf numFmtId="0" fontId="3" fillId="6" borderId="1" xfId="0" applyFont="1" applyFill="1" applyBorder="1" applyAlignment="1" applyProtection="1">
      <alignment horizontal="left"/>
      <protection locked="0"/>
    </xf>
    <xf numFmtId="0" fontId="2" fillId="3" borderId="1" xfId="0" applyFont="1" applyFill="1" applyBorder="1" applyAlignment="1" applyProtection="1">
      <alignment horizontal="center"/>
    </xf>
    <xf numFmtId="0" fontId="3" fillId="3" borderId="1" xfId="0" applyFont="1" applyFill="1" applyBorder="1" applyAlignment="1" applyProtection="1">
      <alignment horizontal="left" indent="1"/>
    </xf>
    <xf numFmtId="0" fontId="2" fillId="6" borderId="1" xfId="0" applyFont="1" applyFill="1" applyBorder="1" applyAlignment="1" applyProtection="1">
      <alignment horizontal="center"/>
    </xf>
    <xf numFmtId="0" fontId="3" fillId="6" borderId="1" xfId="0" applyFont="1" applyFill="1" applyBorder="1" applyAlignment="1" applyProtection="1">
      <alignment horizontal="left" indent="1"/>
    </xf>
    <xf numFmtId="0" fontId="3" fillId="3" borderId="1" xfId="0" applyFont="1" applyFill="1" applyBorder="1" applyAlignment="1" applyProtection="1">
      <alignment horizontal="left"/>
    </xf>
    <xf numFmtId="0" fontId="3" fillId="6" borderId="1" xfId="0" applyFont="1" applyFill="1" applyBorder="1" applyAlignment="1" applyProtection="1">
      <alignment horizontal="left"/>
    </xf>
    <xf numFmtId="0" fontId="3" fillId="3" borderId="1" xfId="0" applyFont="1" applyFill="1" applyBorder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/>
    </xf>
    <xf numFmtId="0" fontId="2" fillId="0" borderId="0" xfId="0" applyFont="1" applyAlignment="1" applyProtection="1">
      <alignment horizontal="left" vertical="center"/>
    </xf>
    <xf numFmtId="0" fontId="3" fillId="0" borderId="0" xfId="0" applyFont="1" applyProtection="1"/>
    <xf numFmtId="0" fontId="2" fillId="4" borderId="5" xfId="0" applyFont="1" applyFill="1" applyBorder="1" applyProtection="1"/>
    <xf numFmtId="0" fontId="2" fillId="4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3" fillId="4" borderId="0" xfId="0" applyFont="1" applyFill="1" applyBorder="1" applyProtection="1"/>
    <xf numFmtId="0" fontId="3" fillId="4" borderId="6" xfId="0" applyFont="1" applyFill="1" applyBorder="1" applyProtection="1"/>
    <xf numFmtId="0" fontId="3" fillId="0" borderId="0" xfId="0" applyFont="1" applyBorder="1" applyProtection="1"/>
    <xf numFmtId="0" fontId="2" fillId="4" borderId="7" xfId="0" applyFont="1" applyFill="1" applyBorder="1" applyProtection="1"/>
    <xf numFmtId="0" fontId="2" fillId="4" borderId="8" xfId="0" applyFont="1" applyFill="1" applyBorder="1" applyAlignment="1" applyProtection="1">
      <alignment horizontal="left"/>
    </xf>
    <xf numFmtId="0" fontId="2" fillId="4" borderId="8" xfId="0" applyFont="1" applyFill="1" applyBorder="1" applyProtection="1"/>
    <xf numFmtId="0" fontId="3" fillId="4" borderId="8" xfId="0" applyFont="1" applyFill="1" applyBorder="1" applyProtection="1"/>
    <xf numFmtId="0" fontId="3" fillId="4" borderId="9" xfId="0" applyFont="1" applyFill="1" applyBorder="1" applyProtection="1"/>
    <xf numFmtId="0" fontId="3" fillId="0" borderId="0" xfId="0" applyFont="1" applyAlignment="1" applyProtection="1">
      <alignment horizontal="center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  <xf numFmtId="9" fontId="2" fillId="2" borderId="1" xfId="1" applyFont="1" applyFill="1" applyBorder="1" applyAlignment="1" applyProtection="1">
      <alignment horizontal="center" vertical="center"/>
    </xf>
    <xf numFmtId="9" fontId="2" fillId="0" borderId="1" xfId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left" vertical="center"/>
    </xf>
    <xf numFmtId="0" fontId="3" fillId="3" borderId="0" xfId="0" applyFont="1" applyFill="1" applyProtection="1"/>
    <xf numFmtId="0" fontId="3" fillId="3" borderId="12" xfId="0" applyFont="1" applyFill="1" applyBorder="1" applyAlignment="1" applyProtection="1">
      <alignment horizontal="left"/>
    </xf>
    <xf numFmtId="0" fontId="2" fillId="3" borderId="1" xfId="0" applyFont="1" applyFill="1" applyBorder="1" applyAlignment="1" applyProtection="1">
      <alignment horizontal="left"/>
    </xf>
    <xf numFmtId="0" fontId="2" fillId="6" borderId="1" xfId="0" applyFont="1" applyFill="1" applyBorder="1" applyAlignment="1" applyProtection="1">
      <alignment horizontal="left"/>
    </xf>
    <xf numFmtId="0" fontId="3" fillId="3" borderId="2" xfId="0" applyFont="1" applyFill="1" applyBorder="1" applyProtection="1"/>
    <xf numFmtId="0" fontId="3" fillId="3" borderId="4" xfId="0" applyFont="1" applyFill="1" applyBorder="1" applyProtection="1"/>
    <xf numFmtId="0" fontId="2" fillId="6" borderId="12" xfId="0" applyFont="1" applyFill="1" applyBorder="1" applyAlignment="1" applyProtection="1">
      <alignment vertical="center"/>
    </xf>
    <xf numFmtId="0" fontId="2" fillId="3" borderId="4" xfId="0" applyFont="1" applyFill="1" applyBorder="1" applyAlignment="1" applyProtection="1">
      <alignment horizontal="left"/>
    </xf>
    <xf numFmtId="0" fontId="3" fillId="3" borderId="8" xfId="0" applyFont="1" applyFill="1" applyBorder="1" applyAlignment="1" applyProtection="1">
      <alignment horizontal="left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2" fillId="4" borderId="0" xfId="0" applyFont="1" applyFill="1" applyBorder="1" applyAlignment="1" applyProtection="1">
      <alignment horizontal="left" indent="1"/>
    </xf>
    <xf numFmtId="0" fontId="2" fillId="4" borderId="0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/>
    <xf numFmtId="0" fontId="2" fillId="4" borderId="5" xfId="0" applyFont="1" applyFill="1" applyBorder="1" applyAlignment="1" applyProtection="1"/>
    <xf numFmtId="0" fontId="2" fillId="4" borderId="3" xfId="0" applyFont="1" applyFill="1" applyBorder="1" applyAlignment="1" applyProtection="1"/>
    <xf numFmtId="0" fontId="2" fillId="4" borderId="4" xfId="0" applyFont="1" applyFill="1" applyBorder="1" applyAlignment="1" applyProtection="1"/>
    <xf numFmtId="0" fontId="2" fillId="3" borderId="0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left"/>
      <protection locked="0"/>
    </xf>
    <xf numFmtId="0" fontId="3" fillId="6" borderId="1" xfId="0" applyFont="1" applyFill="1" applyBorder="1" applyAlignment="1" applyProtection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2" fillId="6" borderId="12" xfId="0" applyFont="1" applyFill="1" applyBorder="1" applyAlignment="1" applyProtection="1">
      <alignment horizontal="center" vertical="center"/>
    </xf>
    <xf numFmtId="0" fontId="2" fillId="3" borderId="4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3" fillId="3" borderId="8" xfId="0" applyFont="1" applyFill="1" applyBorder="1" applyAlignment="1" applyProtection="1">
      <alignment horizont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center" vertical="center"/>
    </xf>
    <xf numFmtId="9" fontId="2" fillId="0" borderId="0" xfId="1" applyFont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Protection="1"/>
    <xf numFmtId="0" fontId="2" fillId="0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2" fillId="4" borderId="11" xfId="0" applyFont="1" applyFill="1" applyBorder="1" applyAlignment="1" applyProtection="1">
      <alignment horizontal="left" vertical="center" wrapText="1"/>
    </xf>
    <xf numFmtId="0" fontId="2" fillId="4" borderId="12" xfId="0" applyFont="1" applyFill="1" applyBorder="1" applyAlignment="1" applyProtection="1">
      <alignment horizontal="left" vertical="center" wrapText="1"/>
    </xf>
    <xf numFmtId="0" fontId="2" fillId="4" borderId="3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horizontal="center" vertical="center" wrapText="1"/>
    </xf>
    <xf numFmtId="0" fontId="2" fillId="4" borderId="14" xfId="0" applyFont="1" applyFill="1" applyBorder="1" applyAlignment="1" applyProtection="1">
      <alignment horizontal="center" vertical="center" wrapText="1"/>
    </xf>
    <xf numFmtId="0" fontId="2" fillId="4" borderId="7" xfId="0" applyFont="1" applyFill="1" applyBorder="1" applyAlignment="1" applyProtection="1">
      <alignment horizontal="center" vertical="center" wrapText="1"/>
    </xf>
    <xf numFmtId="0" fontId="2" fillId="4" borderId="8" xfId="0" applyFont="1" applyFill="1" applyBorder="1" applyAlignment="1" applyProtection="1">
      <alignment horizontal="center" vertical="center" wrapText="1"/>
    </xf>
    <xf numFmtId="0" fontId="2" fillId="4" borderId="9" xfId="0" applyFont="1" applyFill="1" applyBorder="1" applyAlignment="1" applyProtection="1">
      <alignment horizontal="center" vertical="center" wrapText="1"/>
    </xf>
    <xf numFmtId="0" fontId="2" fillId="6" borderId="8" xfId="0" applyFont="1" applyFill="1" applyBorder="1" applyAlignment="1" applyProtection="1">
      <alignment horizontal="center" vertical="center"/>
    </xf>
    <xf numFmtId="0" fontId="2" fillId="6" borderId="9" xfId="0" applyFont="1" applyFill="1" applyBorder="1" applyAlignment="1" applyProtection="1">
      <alignment horizontal="center" vertical="center"/>
    </xf>
    <xf numFmtId="0" fontId="2" fillId="6" borderId="13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/>
    </xf>
    <xf numFmtId="0" fontId="2" fillId="6" borderId="10" xfId="0" applyFont="1" applyFill="1" applyBorder="1" applyAlignment="1" applyProtection="1">
      <alignment horizontal="center" vertical="center"/>
    </xf>
  </cellXfs>
  <cellStyles count="2">
    <cellStyle name="Normal" xfId="0" builtinId="0"/>
    <cellStyle name="Pros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3"/>
  <sheetViews>
    <sheetView showGridLines="0" tabSelected="1" topLeftCell="A43" zoomScale="83" zoomScaleNormal="83" workbookViewId="0">
      <selection activeCell="D28" sqref="D28:K46"/>
    </sheetView>
  </sheetViews>
  <sheetFormatPr baseColWidth="10" defaultColWidth="11.44140625" defaultRowHeight="13.2" x14ac:dyDescent="0.25"/>
  <cols>
    <col min="1" max="1" width="6.5546875" style="29" customWidth="1"/>
    <col min="2" max="2" width="31.6640625" style="35" customWidth="1"/>
    <col min="3" max="3" width="9.6640625" style="17" bestFit="1" customWidth="1"/>
    <col min="4" max="4" width="11.88671875" style="17" bestFit="1" customWidth="1"/>
    <col min="5" max="5" width="13.33203125" style="17" customWidth="1"/>
    <col min="6" max="6" width="10.5546875" style="17" customWidth="1"/>
    <col min="7" max="7" width="11.44140625" style="17" customWidth="1"/>
    <col min="8" max="9" width="13.33203125" style="17" customWidth="1"/>
    <col min="10" max="10" width="18.33203125" style="17" customWidth="1"/>
    <col min="11" max="11" width="89" style="35" customWidth="1"/>
    <col min="12" max="12" width="11.44140625" style="17"/>
    <col min="13" max="13" width="16.33203125" style="17" customWidth="1"/>
    <col min="14" max="14" width="15.5546875" style="17" customWidth="1"/>
    <col min="15" max="16384" width="11.44140625" style="17"/>
  </cols>
  <sheetData>
    <row r="1" spans="1:11" ht="18" customHeight="1" x14ac:dyDescent="0.25">
      <c r="A1" s="15"/>
      <c r="B1" s="52" t="s">
        <v>44</v>
      </c>
      <c r="C1" s="53"/>
      <c r="D1" s="53"/>
      <c r="E1" s="53"/>
      <c r="F1" s="53"/>
      <c r="G1" s="53"/>
      <c r="H1" s="53"/>
      <c r="I1" s="22"/>
      <c r="J1" s="21"/>
      <c r="K1" s="16"/>
    </row>
    <row r="2" spans="1:11" ht="18" customHeight="1" x14ac:dyDescent="0.25">
      <c r="A2" s="15"/>
      <c r="B2" s="51" t="s">
        <v>55</v>
      </c>
      <c r="C2" s="50"/>
      <c r="D2" s="50"/>
      <c r="E2" s="49"/>
      <c r="F2" s="47"/>
      <c r="G2" s="48"/>
      <c r="H2" s="21"/>
      <c r="I2" s="22"/>
      <c r="J2" s="21"/>
      <c r="K2" s="16"/>
    </row>
    <row r="3" spans="1:11" ht="18" customHeight="1" x14ac:dyDescent="0.25">
      <c r="A3" s="15"/>
      <c r="B3" s="18" t="s">
        <v>56</v>
      </c>
      <c r="C3" s="47"/>
      <c r="D3" s="19"/>
      <c r="E3" s="47"/>
      <c r="F3" s="48"/>
      <c r="G3" s="21"/>
      <c r="H3" s="21"/>
      <c r="I3" s="22"/>
      <c r="J3" s="21"/>
      <c r="K3" s="16"/>
    </row>
    <row r="4" spans="1:11" s="23" customFormat="1" ht="17.25" customHeight="1" x14ac:dyDescent="0.25">
      <c r="A4" s="15"/>
      <c r="B4" s="18" t="s">
        <v>0</v>
      </c>
      <c r="C4" s="47" t="s">
        <v>45</v>
      </c>
      <c r="D4" s="48">
        <f>D10</f>
        <v>2</v>
      </c>
      <c r="E4" s="20"/>
      <c r="F4" s="21"/>
      <c r="G4" s="21"/>
      <c r="H4" s="21"/>
      <c r="I4" s="22"/>
      <c r="J4" s="21"/>
      <c r="K4" s="16"/>
    </row>
    <row r="5" spans="1:11" s="23" customFormat="1" ht="3.75" customHeight="1" x14ac:dyDescent="0.25">
      <c r="A5" s="15"/>
      <c r="B5" s="24"/>
      <c r="C5" s="25"/>
      <c r="D5" s="26"/>
      <c r="E5" s="26"/>
      <c r="F5" s="27"/>
      <c r="G5" s="27"/>
      <c r="H5" s="27"/>
      <c r="I5" s="28"/>
      <c r="J5" s="21"/>
      <c r="K5" s="16"/>
    </row>
    <row r="6" spans="1:11" ht="7.5" customHeight="1" x14ac:dyDescent="0.25">
      <c r="A6" s="15"/>
      <c r="B6" s="17"/>
      <c r="C6" s="29"/>
      <c r="K6" s="16"/>
    </row>
    <row r="7" spans="1:11" s="32" customFormat="1" ht="14.25" customHeight="1" x14ac:dyDescent="0.25">
      <c r="A7" s="15"/>
      <c r="B7" s="76" t="s">
        <v>15</v>
      </c>
      <c r="C7" s="30" t="s">
        <v>16</v>
      </c>
      <c r="D7" s="31">
        <v>2</v>
      </c>
      <c r="E7" s="31">
        <v>3</v>
      </c>
      <c r="F7" s="31">
        <v>4</v>
      </c>
      <c r="G7" s="31">
        <f t="shared" ref="G7:I7" si="0">G10</f>
        <v>5</v>
      </c>
      <c r="H7" s="31">
        <f t="shared" si="0"/>
        <v>6</v>
      </c>
      <c r="I7" s="31">
        <f t="shared" si="0"/>
        <v>7</v>
      </c>
      <c r="J7" s="67"/>
      <c r="K7" s="16"/>
    </row>
    <row r="8" spans="1:11" s="15" customFormat="1" x14ac:dyDescent="0.25">
      <c r="B8" s="77"/>
      <c r="C8" s="33" t="str">
        <f>IF(K80+K81=0,"",K80/(K80+K81))</f>
        <v/>
      </c>
      <c r="D8" s="34" t="str">
        <f>IF(D80+D81=0,"",D80/(D80+D81))</f>
        <v/>
      </c>
      <c r="E8" s="34" t="str">
        <f t="shared" ref="E8:I8" si="1">IF(E80+E81=0,"",E80/(E80+E81))</f>
        <v/>
      </c>
      <c r="F8" s="34" t="str">
        <f t="shared" si="1"/>
        <v/>
      </c>
      <c r="G8" s="34" t="str">
        <f>IF(G80+G81=0,"",G80/(G80+G81))</f>
        <v/>
      </c>
      <c r="H8" s="34" t="str">
        <f t="shared" si="1"/>
        <v/>
      </c>
      <c r="I8" s="34" t="str">
        <f t="shared" si="1"/>
        <v/>
      </c>
      <c r="J8" s="68"/>
      <c r="K8" s="16"/>
    </row>
    <row r="9" spans="1:11" ht="7.5" customHeight="1" x14ac:dyDescent="0.25"/>
    <row r="10" spans="1:11" s="32" customFormat="1" ht="26.4" x14ac:dyDescent="0.25">
      <c r="A10" s="30" t="s">
        <v>30</v>
      </c>
      <c r="B10" s="36" t="s">
        <v>7</v>
      </c>
      <c r="C10" s="30" t="s">
        <v>43</v>
      </c>
      <c r="D10" s="4">
        <v>2</v>
      </c>
      <c r="E10" s="31">
        <v>3</v>
      </c>
      <c r="F10" s="31">
        <v>4</v>
      </c>
      <c r="G10" s="31">
        <v>5</v>
      </c>
      <c r="H10" s="31">
        <v>6</v>
      </c>
      <c r="I10" s="31">
        <v>7</v>
      </c>
      <c r="J10" s="31" t="s">
        <v>54</v>
      </c>
      <c r="K10" s="36" t="s">
        <v>23</v>
      </c>
    </row>
    <row r="11" spans="1:11" s="37" customFormat="1" x14ac:dyDescent="0.25">
      <c r="A11" s="8" t="s">
        <v>9</v>
      </c>
      <c r="B11" s="9" t="s">
        <v>17</v>
      </c>
      <c r="C11" s="3" t="s">
        <v>8</v>
      </c>
      <c r="D11" s="8"/>
      <c r="E11" s="8"/>
      <c r="F11" s="8"/>
      <c r="G11" s="8"/>
      <c r="H11" s="8"/>
      <c r="I11" s="8"/>
      <c r="J11" s="8"/>
      <c r="K11" s="2"/>
    </row>
    <row r="12" spans="1:11" s="37" customFormat="1" x14ac:dyDescent="0.25">
      <c r="A12" s="10" t="s">
        <v>9</v>
      </c>
      <c r="B12" s="11" t="s">
        <v>29</v>
      </c>
      <c r="C12" s="6" t="s">
        <v>8</v>
      </c>
      <c r="D12" s="10"/>
      <c r="E12" s="10"/>
      <c r="F12" s="10"/>
      <c r="G12" s="10"/>
      <c r="H12" s="10"/>
      <c r="I12" s="10"/>
      <c r="J12" s="10"/>
      <c r="K12" s="7"/>
    </row>
    <row r="13" spans="1:11" s="37" customFormat="1" x14ac:dyDescent="0.25">
      <c r="A13" s="8" t="s">
        <v>9</v>
      </c>
      <c r="B13" s="9" t="s">
        <v>10</v>
      </c>
      <c r="C13" s="3" t="s">
        <v>8</v>
      </c>
      <c r="D13" s="8"/>
      <c r="E13" s="8"/>
      <c r="F13" s="8"/>
      <c r="G13" s="8"/>
      <c r="H13" s="8"/>
      <c r="I13" s="8"/>
      <c r="J13" s="8"/>
      <c r="K13" s="2"/>
    </row>
    <row r="14" spans="1:11" s="37" customFormat="1" x14ac:dyDescent="0.25">
      <c r="A14" s="10" t="s">
        <v>9</v>
      </c>
      <c r="B14" s="11" t="s">
        <v>26</v>
      </c>
      <c r="C14" s="6" t="s">
        <v>51</v>
      </c>
      <c r="D14" s="10"/>
      <c r="E14" s="10"/>
      <c r="F14" s="10"/>
      <c r="G14" s="10"/>
      <c r="H14" s="10"/>
      <c r="I14" s="10"/>
      <c r="J14" s="10"/>
      <c r="K14" s="7"/>
    </row>
    <row r="15" spans="1:11" s="37" customFormat="1" x14ac:dyDescent="0.25">
      <c r="A15" s="8"/>
      <c r="B15" s="9" t="s">
        <v>2</v>
      </c>
      <c r="C15" s="3" t="s">
        <v>8</v>
      </c>
      <c r="D15" s="8"/>
      <c r="E15" s="8"/>
      <c r="F15" s="8"/>
      <c r="G15" s="8"/>
      <c r="H15" s="8"/>
      <c r="I15" s="8"/>
      <c r="J15" s="8"/>
      <c r="K15" s="7"/>
    </row>
    <row r="16" spans="1:11" s="37" customFormat="1" x14ac:dyDescent="0.25">
      <c r="A16" s="10" t="s">
        <v>9</v>
      </c>
      <c r="B16" s="11" t="s">
        <v>25</v>
      </c>
      <c r="C16" s="6" t="s">
        <v>51</v>
      </c>
      <c r="D16" s="10"/>
      <c r="E16" s="10"/>
      <c r="F16" s="10"/>
      <c r="G16" s="10"/>
      <c r="H16" s="10"/>
      <c r="I16" s="10"/>
      <c r="J16" s="10"/>
      <c r="K16" s="7"/>
    </row>
    <row r="17" spans="1:11" s="37" customFormat="1" x14ac:dyDescent="0.25">
      <c r="A17" s="8" t="s">
        <v>9</v>
      </c>
      <c r="B17" s="9" t="s">
        <v>25</v>
      </c>
      <c r="C17" s="3" t="s">
        <v>8</v>
      </c>
      <c r="D17" s="8"/>
      <c r="E17" s="8"/>
      <c r="F17" s="8"/>
      <c r="G17" s="8"/>
      <c r="H17" s="8"/>
      <c r="I17" s="8"/>
      <c r="J17" s="8"/>
      <c r="K17" s="7"/>
    </row>
    <row r="18" spans="1:11" s="37" customFormat="1" x14ac:dyDescent="0.25">
      <c r="A18" s="10" t="s">
        <v>9</v>
      </c>
      <c r="B18" s="11" t="s">
        <v>27</v>
      </c>
      <c r="C18" s="6" t="s">
        <v>8</v>
      </c>
      <c r="D18" s="10"/>
      <c r="E18" s="10"/>
      <c r="F18" s="10"/>
      <c r="G18" s="10"/>
      <c r="H18" s="10"/>
      <c r="I18" s="10"/>
      <c r="J18" s="10"/>
      <c r="K18" s="7"/>
    </row>
    <row r="19" spans="1:11" s="37" customFormat="1" x14ac:dyDescent="0.25">
      <c r="A19" s="8"/>
      <c r="B19" s="9" t="s">
        <v>1</v>
      </c>
      <c r="C19" s="3" t="s">
        <v>8</v>
      </c>
      <c r="D19" s="8"/>
      <c r="E19" s="8"/>
      <c r="F19" s="8"/>
      <c r="G19" s="8"/>
      <c r="H19" s="8"/>
      <c r="I19" s="8"/>
      <c r="J19" s="8"/>
      <c r="K19" s="2"/>
    </row>
    <row r="20" spans="1:11" s="37" customFormat="1" x14ac:dyDescent="0.25">
      <c r="A20" s="10" t="s">
        <v>9</v>
      </c>
      <c r="B20" s="11" t="s">
        <v>19</v>
      </c>
      <c r="C20" s="6" t="s">
        <v>8</v>
      </c>
      <c r="D20" s="10"/>
      <c r="E20" s="10" t="s">
        <v>37</v>
      </c>
      <c r="F20" s="10"/>
      <c r="G20" s="10"/>
      <c r="H20" s="10"/>
      <c r="I20" s="10" t="s">
        <v>37</v>
      </c>
      <c r="J20" s="10"/>
      <c r="K20" s="7"/>
    </row>
    <row r="21" spans="1:11" s="37" customFormat="1" x14ac:dyDescent="0.25">
      <c r="A21" s="8"/>
      <c r="B21" s="9" t="s">
        <v>11</v>
      </c>
      <c r="C21" s="3" t="s">
        <v>8</v>
      </c>
      <c r="D21" s="8" t="s">
        <v>37</v>
      </c>
      <c r="E21" s="8" t="s">
        <v>37</v>
      </c>
      <c r="F21" s="8" t="s">
        <v>37</v>
      </c>
      <c r="G21" s="8" t="s">
        <v>37</v>
      </c>
      <c r="H21" s="8" t="s">
        <v>37</v>
      </c>
      <c r="I21" s="8" t="s">
        <v>37</v>
      </c>
      <c r="J21" s="8"/>
      <c r="K21" s="2"/>
    </row>
    <row r="22" spans="1:11" s="37" customFormat="1" x14ac:dyDescent="0.25">
      <c r="A22" s="10"/>
      <c r="B22" s="11"/>
      <c r="C22" s="6"/>
      <c r="D22" s="10"/>
      <c r="E22" s="10"/>
      <c r="F22" s="10"/>
      <c r="G22" s="10"/>
      <c r="H22" s="10"/>
      <c r="I22" s="10"/>
      <c r="J22" s="10"/>
      <c r="K22" s="7"/>
    </row>
    <row r="23" spans="1:11" s="37" customFormat="1" x14ac:dyDescent="0.25">
      <c r="A23" s="8"/>
      <c r="B23" s="9"/>
      <c r="C23" s="3"/>
      <c r="D23" s="8"/>
      <c r="E23" s="8"/>
      <c r="F23" s="8"/>
      <c r="G23" s="8"/>
      <c r="H23" s="8"/>
      <c r="I23" s="8"/>
      <c r="J23" s="8"/>
      <c r="K23" s="2"/>
    </row>
    <row r="24" spans="1:11" s="37" customFormat="1" x14ac:dyDescent="0.25">
      <c r="A24" s="10"/>
      <c r="B24" s="11"/>
      <c r="C24" s="6"/>
      <c r="D24" s="10"/>
      <c r="E24" s="10"/>
      <c r="F24" s="10"/>
      <c r="G24" s="10"/>
      <c r="H24" s="10"/>
      <c r="I24" s="10"/>
      <c r="J24" s="10"/>
      <c r="K24" s="7"/>
    </row>
    <row r="25" spans="1:11" ht="12" customHeight="1" x14ac:dyDescent="0.25"/>
    <row r="26" spans="1:11" s="32" customFormat="1" ht="26.4" x14ac:dyDescent="0.25">
      <c r="A26" s="30" t="str">
        <f>+A10</f>
        <v>Fag-brev</v>
      </c>
      <c r="B26" s="36" t="s">
        <v>14</v>
      </c>
      <c r="C26" s="30" t="str">
        <f>+C10</f>
        <v>Dag/Natt</v>
      </c>
      <c r="D26" s="31">
        <v>2</v>
      </c>
      <c r="E26" s="31">
        <v>3</v>
      </c>
      <c r="F26" s="31">
        <v>4</v>
      </c>
      <c r="G26" s="31">
        <v>5</v>
      </c>
      <c r="H26" s="31">
        <v>6</v>
      </c>
      <c r="I26" s="31">
        <v>7</v>
      </c>
      <c r="J26" s="31"/>
      <c r="K26" s="36" t="s">
        <v>28</v>
      </c>
    </row>
    <row r="27" spans="1:11" s="32" customFormat="1" x14ac:dyDescent="0.25">
      <c r="A27" s="10" t="s">
        <v>9</v>
      </c>
      <c r="B27" s="11" t="s">
        <v>49</v>
      </c>
      <c r="C27" s="6" t="s">
        <v>50</v>
      </c>
      <c r="D27" s="5" t="s">
        <v>37</v>
      </c>
      <c r="E27" s="5"/>
      <c r="F27" s="5"/>
      <c r="G27" s="5"/>
      <c r="H27" s="5"/>
      <c r="I27" s="5" t="s">
        <v>37</v>
      </c>
      <c r="J27" s="5"/>
      <c r="K27" s="7"/>
    </row>
    <row r="28" spans="1:11" s="37" customFormat="1" x14ac:dyDescent="0.25">
      <c r="A28" s="10" t="s">
        <v>9</v>
      </c>
      <c r="B28" s="11" t="s">
        <v>25</v>
      </c>
      <c r="C28" s="6" t="s">
        <v>8</v>
      </c>
      <c r="D28" s="5"/>
      <c r="E28" s="5"/>
      <c r="F28" s="5"/>
      <c r="G28" s="5"/>
      <c r="H28" s="1"/>
      <c r="I28" s="5"/>
      <c r="J28" s="1"/>
      <c r="K28" s="7"/>
    </row>
    <row r="29" spans="1:11" s="37" customFormat="1" x14ac:dyDescent="0.25">
      <c r="A29" s="8" t="s">
        <v>9</v>
      </c>
      <c r="B29" s="9" t="s">
        <v>25</v>
      </c>
      <c r="C29" s="3" t="s">
        <v>8</v>
      </c>
      <c r="D29" s="1"/>
      <c r="E29" s="1"/>
      <c r="F29" s="1"/>
      <c r="G29" s="1"/>
      <c r="H29" s="1"/>
      <c r="I29" s="1"/>
      <c r="J29" s="1"/>
      <c r="K29" s="14"/>
    </row>
    <row r="30" spans="1:11" s="37" customFormat="1" x14ac:dyDescent="0.25">
      <c r="A30" s="10" t="s">
        <v>31</v>
      </c>
      <c r="B30" s="11" t="s">
        <v>24</v>
      </c>
      <c r="C30" s="6" t="s">
        <v>8</v>
      </c>
      <c r="D30" s="5"/>
      <c r="E30" s="5"/>
      <c r="F30" s="5"/>
      <c r="G30" s="5"/>
      <c r="H30" s="5"/>
      <c r="I30" s="5"/>
      <c r="J30" s="5"/>
      <c r="K30" s="7"/>
    </row>
    <row r="31" spans="1:11" s="37" customFormat="1" x14ac:dyDescent="0.25">
      <c r="A31" s="8" t="s">
        <v>9</v>
      </c>
      <c r="B31" s="9" t="s">
        <v>26</v>
      </c>
      <c r="C31" s="3" t="s">
        <v>8</v>
      </c>
      <c r="D31" s="1"/>
      <c r="E31" s="1"/>
      <c r="F31" s="1"/>
      <c r="G31" s="1"/>
      <c r="H31" s="1"/>
      <c r="I31" s="1"/>
      <c r="J31" s="1"/>
      <c r="K31" s="2"/>
    </row>
    <row r="32" spans="1:11" s="37" customFormat="1" x14ac:dyDescent="0.25">
      <c r="A32" s="10" t="s">
        <v>31</v>
      </c>
      <c r="B32" s="11" t="s">
        <v>2</v>
      </c>
      <c r="C32" s="6" t="s">
        <v>51</v>
      </c>
      <c r="D32" s="5"/>
      <c r="E32" s="5"/>
      <c r="F32" s="5"/>
      <c r="G32" s="5"/>
      <c r="H32" s="5"/>
      <c r="I32" s="5"/>
      <c r="J32" s="5"/>
      <c r="K32" s="7"/>
    </row>
    <row r="33" spans="1:11" s="37" customFormat="1" x14ac:dyDescent="0.25">
      <c r="A33" s="8" t="s">
        <v>9</v>
      </c>
      <c r="B33" s="9" t="s">
        <v>18</v>
      </c>
      <c r="C33" s="3" t="s">
        <v>8</v>
      </c>
      <c r="D33" s="1"/>
      <c r="E33" s="1"/>
      <c r="F33" s="1"/>
      <c r="G33" s="1"/>
      <c r="H33" s="1"/>
      <c r="I33" s="1"/>
      <c r="J33" s="1"/>
      <c r="K33" s="2"/>
    </row>
    <row r="34" spans="1:11" s="37" customFormat="1" x14ac:dyDescent="0.25">
      <c r="A34" s="10" t="s">
        <v>31</v>
      </c>
      <c r="B34" s="11" t="s">
        <v>3</v>
      </c>
      <c r="C34" s="6" t="s">
        <v>8</v>
      </c>
      <c r="D34" s="5"/>
      <c r="E34" s="5"/>
      <c r="F34" s="5"/>
      <c r="G34" s="5"/>
      <c r="H34" s="5"/>
      <c r="I34" s="5"/>
      <c r="J34" s="5"/>
      <c r="K34" s="7"/>
    </row>
    <row r="35" spans="1:11" s="37" customFormat="1" x14ac:dyDescent="0.25">
      <c r="A35" s="10" t="s">
        <v>9</v>
      </c>
      <c r="B35" s="9" t="s">
        <v>27</v>
      </c>
      <c r="C35" s="6" t="s">
        <v>8</v>
      </c>
      <c r="D35" s="5"/>
      <c r="E35" s="5"/>
      <c r="F35" s="5"/>
      <c r="G35" s="5"/>
      <c r="H35" s="5"/>
      <c r="I35" s="5"/>
      <c r="J35" s="5"/>
      <c r="K35" s="7"/>
    </row>
    <row r="36" spans="1:11" s="37" customFormat="1" x14ac:dyDescent="0.25">
      <c r="A36" s="8" t="s">
        <v>9</v>
      </c>
      <c r="B36" s="9" t="s">
        <v>27</v>
      </c>
      <c r="C36" s="3" t="s">
        <v>8</v>
      </c>
      <c r="D36" s="1"/>
      <c r="E36" s="1"/>
      <c r="F36" s="1"/>
      <c r="G36" s="1"/>
      <c r="H36" s="1"/>
      <c r="I36" s="1"/>
      <c r="J36" s="8"/>
      <c r="K36" s="2"/>
    </row>
    <row r="37" spans="1:11" s="37" customFormat="1" x14ac:dyDescent="0.25">
      <c r="A37" s="10" t="s">
        <v>31</v>
      </c>
      <c r="B37" s="11" t="s">
        <v>27</v>
      </c>
      <c r="C37" s="6" t="s">
        <v>8</v>
      </c>
      <c r="D37" s="5"/>
      <c r="E37" s="5"/>
      <c r="F37" s="5"/>
      <c r="G37" s="5"/>
      <c r="H37" s="5"/>
      <c r="I37" s="5"/>
      <c r="J37" s="5"/>
      <c r="K37" s="2"/>
    </row>
    <row r="38" spans="1:11" s="37" customFormat="1" x14ac:dyDescent="0.25">
      <c r="A38" s="8" t="s">
        <v>9</v>
      </c>
      <c r="B38" s="9" t="s">
        <v>19</v>
      </c>
      <c r="C38" s="3" t="s">
        <v>8</v>
      </c>
      <c r="D38" s="1"/>
      <c r="E38" s="1"/>
      <c r="F38" s="1"/>
      <c r="G38" s="1"/>
      <c r="H38" s="1"/>
      <c r="I38" s="1"/>
      <c r="J38" s="1"/>
      <c r="K38" s="2"/>
    </row>
    <row r="39" spans="1:11" s="37" customFormat="1" x14ac:dyDescent="0.25">
      <c r="A39" s="10" t="s">
        <v>31</v>
      </c>
      <c r="B39" s="11" t="s">
        <v>11</v>
      </c>
      <c r="C39" s="6" t="s">
        <v>8</v>
      </c>
      <c r="D39" s="5"/>
      <c r="E39" s="5"/>
      <c r="F39" s="5"/>
      <c r="G39" s="5"/>
      <c r="H39" s="5"/>
      <c r="I39" s="5"/>
      <c r="J39" s="8"/>
      <c r="K39" s="7"/>
    </row>
    <row r="40" spans="1:11" s="37" customFormat="1" x14ac:dyDescent="0.25">
      <c r="A40" s="8" t="s">
        <v>9</v>
      </c>
      <c r="B40" s="9" t="s">
        <v>20</v>
      </c>
      <c r="C40" s="3" t="s">
        <v>8</v>
      </c>
      <c r="D40" s="1"/>
      <c r="E40" s="1"/>
      <c r="F40" s="1"/>
      <c r="G40" s="1"/>
      <c r="H40" s="1"/>
      <c r="I40" s="1"/>
      <c r="J40" s="1"/>
      <c r="K40" s="2"/>
    </row>
    <row r="41" spans="1:11" s="37" customFormat="1" x14ac:dyDescent="0.25">
      <c r="A41" s="10" t="s">
        <v>31</v>
      </c>
      <c r="B41" s="11" t="s">
        <v>52</v>
      </c>
      <c r="C41" s="6" t="s">
        <v>8</v>
      </c>
      <c r="D41" s="5"/>
      <c r="E41" s="5"/>
      <c r="F41" s="5"/>
      <c r="G41" s="5"/>
      <c r="H41" s="5"/>
      <c r="I41" s="5"/>
      <c r="J41" s="5"/>
      <c r="K41" s="7"/>
    </row>
    <row r="42" spans="1:11" s="37" customFormat="1" x14ac:dyDescent="0.25">
      <c r="A42" s="8" t="s">
        <v>9</v>
      </c>
      <c r="B42" s="9" t="s">
        <v>21</v>
      </c>
      <c r="C42" s="3" t="s">
        <v>8</v>
      </c>
      <c r="D42" s="1"/>
      <c r="E42" s="1"/>
      <c r="F42" s="1"/>
      <c r="G42" s="1"/>
      <c r="H42" s="1"/>
      <c r="I42" s="1"/>
      <c r="J42" s="1"/>
      <c r="K42" s="2"/>
    </row>
    <row r="43" spans="1:11" s="37" customFormat="1" x14ac:dyDescent="0.25">
      <c r="A43" s="10" t="s">
        <v>31</v>
      </c>
      <c r="B43" s="11" t="s">
        <v>4</v>
      </c>
      <c r="C43" s="6" t="s">
        <v>8</v>
      </c>
      <c r="D43" s="5"/>
      <c r="E43" s="5"/>
      <c r="F43" s="5"/>
      <c r="G43" s="5"/>
      <c r="H43" s="5"/>
      <c r="I43" s="5"/>
      <c r="J43" s="8"/>
      <c r="K43" s="7"/>
    </row>
    <row r="44" spans="1:11" s="37" customFormat="1" x14ac:dyDescent="0.25">
      <c r="A44" s="8" t="s">
        <v>9</v>
      </c>
      <c r="B44" s="9" t="s">
        <v>22</v>
      </c>
      <c r="C44" s="3" t="s">
        <v>8</v>
      </c>
      <c r="D44" s="1"/>
      <c r="E44" s="1"/>
      <c r="F44" s="1"/>
      <c r="G44" s="1"/>
      <c r="H44" s="1"/>
      <c r="I44" s="1"/>
      <c r="J44" s="1"/>
      <c r="K44" s="2"/>
    </row>
    <row r="45" spans="1:11" s="37" customFormat="1" x14ac:dyDescent="0.25">
      <c r="A45" s="10" t="s">
        <v>31</v>
      </c>
      <c r="B45" s="11" t="s">
        <v>6</v>
      </c>
      <c r="C45" s="6" t="s">
        <v>8</v>
      </c>
      <c r="D45" s="5"/>
      <c r="E45" s="5"/>
      <c r="F45" s="5"/>
      <c r="G45" s="5"/>
      <c r="H45" s="5"/>
      <c r="I45" s="5"/>
      <c r="J45" s="8"/>
      <c r="K45" s="7"/>
    </row>
    <row r="46" spans="1:11" s="37" customFormat="1" x14ac:dyDescent="0.25">
      <c r="A46" s="8" t="s">
        <v>9</v>
      </c>
      <c r="B46" s="9" t="s">
        <v>5</v>
      </c>
      <c r="C46" s="3" t="s">
        <v>8</v>
      </c>
      <c r="D46" s="1"/>
      <c r="E46" s="1"/>
      <c r="F46" s="1"/>
      <c r="G46" s="1"/>
      <c r="H46" s="1"/>
      <c r="I46" s="1"/>
      <c r="J46" s="1"/>
      <c r="K46" s="2"/>
    </row>
    <row r="47" spans="1:11" ht="13.5" customHeight="1" x14ac:dyDescent="0.25">
      <c r="A47" s="10"/>
      <c r="B47" s="11" t="s">
        <v>48</v>
      </c>
      <c r="C47" s="6" t="s">
        <v>8</v>
      </c>
      <c r="D47" s="5"/>
      <c r="E47" s="5"/>
      <c r="F47" s="5"/>
      <c r="G47" s="5"/>
      <c r="H47" s="5"/>
      <c r="I47" s="5"/>
      <c r="J47" s="5"/>
      <c r="K47" s="7"/>
    </row>
    <row r="48" spans="1:11" ht="13.5" customHeight="1" x14ac:dyDescent="0.25">
      <c r="A48" s="8" t="s">
        <v>37</v>
      </c>
      <c r="B48" s="9" t="s">
        <v>53</v>
      </c>
      <c r="C48" s="3" t="s">
        <v>8</v>
      </c>
      <c r="D48" s="1" t="s">
        <v>37</v>
      </c>
      <c r="E48" s="1" t="s">
        <v>37</v>
      </c>
      <c r="F48" s="1"/>
      <c r="G48" s="1"/>
      <c r="H48" s="1" t="s">
        <v>37</v>
      </c>
      <c r="I48" s="1" t="s">
        <v>37</v>
      </c>
      <c r="J48" s="1"/>
      <c r="K48" s="2" t="s">
        <v>37</v>
      </c>
    </row>
    <row r="49" spans="1:12" ht="15" customHeight="1" x14ac:dyDescent="0.25">
      <c r="A49" s="54"/>
      <c r="B49" s="55"/>
      <c r="C49" s="56"/>
      <c r="D49" s="57"/>
      <c r="E49" s="57"/>
      <c r="F49" s="57"/>
      <c r="G49" s="57"/>
      <c r="H49" s="57"/>
      <c r="I49" s="57"/>
      <c r="J49" s="57"/>
      <c r="K49" s="58"/>
    </row>
    <row r="50" spans="1:12" ht="15" customHeight="1" x14ac:dyDescent="0.25"/>
    <row r="51" spans="1:12" x14ac:dyDescent="0.25">
      <c r="B51" s="78" t="s">
        <v>42</v>
      </c>
      <c r="C51" s="79"/>
      <c r="D51" s="79"/>
      <c r="E51" s="79"/>
      <c r="F51" s="79"/>
      <c r="G51" s="79"/>
      <c r="H51" s="79"/>
      <c r="I51" s="80"/>
      <c r="J51" s="69"/>
    </row>
    <row r="52" spans="1:12" x14ac:dyDescent="0.25">
      <c r="B52" s="81"/>
      <c r="C52" s="82"/>
      <c r="D52" s="82"/>
      <c r="E52" s="82"/>
      <c r="F52" s="82"/>
      <c r="G52" s="82"/>
      <c r="H52" s="82"/>
      <c r="I52" s="83"/>
      <c r="J52" s="69"/>
    </row>
    <row r="53" spans="1:12" x14ac:dyDescent="0.25">
      <c r="B53" s="66" t="s">
        <v>36</v>
      </c>
      <c r="C53" s="84" t="s">
        <v>41</v>
      </c>
      <c r="D53" s="84"/>
      <c r="E53" s="84"/>
      <c r="F53" s="84"/>
      <c r="G53" s="84"/>
      <c r="H53" s="84"/>
      <c r="I53" s="85"/>
      <c r="J53" s="70"/>
      <c r="L53" s="35"/>
    </row>
    <row r="54" spans="1:12" x14ac:dyDescent="0.25">
      <c r="B54" s="38" t="s">
        <v>37</v>
      </c>
      <c r="C54" s="38"/>
      <c r="D54" s="8" t="str">
        <f t="shared" ref="D54:I54" si="2">CONCATENATE("Uke ",D10)</f>
        <v>Uke 2</v>
      </c>
      <c r="E54" s="8" t="str">
        <f t="shared" si="2"/>
        <v>Uke 3</v>
      </c>
      <c r="F54" s="8" t="str">
        <f t="shared" si="2"/>
        <v>Uke 4</v>
      </c>
      <c r="G54" s="8" t="str">
        <f t="shared" si="2"/>
        <v>Uke 5</v>
      </c>
      <c r="H54" s="8" t="str">
        <f t="shared" si="2"/>
        <v>Uke 6</v>
      </c>
      <c r="I54" s="8" t="str">
        <f t="shared" si="2"/>
        <v>Uke 7</v>
      </c>
      <c r="J54" s="71"/>
      <c r="L54" s="35"/>
    </row>
    <row r="55" spans="1:12" x14ac:dyDescent="0.25">
      <c r="B55" s="13" t="s">
        <v>38</v>
      </c>
      <c r="C55" s="13"/>
      <c r="D55" s="59">
        <f t="shared" ref="D55:I55" si="3">(SUM(D11,D27))*75</f>
        <v>0</v>
      </c>
      <c r="E55" s="59">
        <f t="shared" si="3"/>
        <v>0</v>
      </c>
      <c r="F55" s="59">
        <f t="shared" si="3"/>
        <v>0</v>
      </c>
      <c r="G55" s="59">
        <f t="shared" si="3"/>
        <v>0</v>
      </c>
      <c r="H55" s="59">
        <f t="shared" si="3"/>
        <v>0</v>
      </c>
      <c r="I55" s="59">
        <f t="shared" si="3"/>
        <v>0</v>
      </c>
      <c r="J55" s="72"/>
      <c r="L55" s="35"/>
    </row>
    <row r="56" spans="1:12" x14ac:dyDescent="0.25">
      <c r="B56" s="12" t="s">
        <v>32</v>
      </c>
      <c r="C56" s="12"/>
      <c r="D56" s="60">
        <f t="shared" ref="D56:I56" si="4">SUM(D14:D15,D31:D34)*75</f>
        <v>0</v>
      </c>
      <c r="E56" s="60">
        <f t="shared" si="4"/>
        <v>0</v>
      </c>
      <c r="F56" s="60">
        <f t="shared" si="4"/>
        <v>0</v>
      </c>
      <c r="G56" s="60">
        <f t="shared" si="4"/>
        <v>0</v>
      </c>
      <c r="H56" s="60">
        <f t="shared" si="4"/>
        <v>0</v>
      </c>
      <c r="I56" s="60">
        <f t="shared" si="4"/>
        <v>0</v>
      </c>
      <c r="J56" s="72"/>
      <c r="L56" s="35"/>
    </row>
    <row r="57" spans="1:12" x14ac:dyDescent="0.25">
      <c r="B57" s="13" t="s">
        <v>33</v>
      </c>
      <c r="C57" s="13"/>
      <c r="D57" s="59">
        <f t="shared" ref="D57:I57" si="5">(SUM(D16:D17,D29:D30,D12))*75</f>
        <v>0</v>
      </c>
      <c r="E57" s="59">
        <f t="shared" si="5"/>
        <v>0</v>
      </c>
      <c r="F57" s="59">
        <f t="shared" si="5"/>
        <v>0</v>
      </c>
      <c r="G57" s="59">
        <f t="shared" si="5"/>
        <v>0</v>
      </c>
      <c r="H57" s="59">
        <f t="shared" si="5"/>
        <v>0</v>
      </c>
      <c r="I57" s="59">
        <f t="shared" si="5"/>
        <v>0</v>
      </c>
      <c r="J57" s="72"/>
      <c r="L57" s="35"/>
    </row>
    <row r="58" spans="1:12" x14ac:dyDescent="0.25">
      <c r="B58" s="12" t="s">
        <v>34</v>
      </c>
      <c r="C58" s="12"/>
      <c r="D58" s="60">
        <f t="shared" ref="D58:I58" si="6">SUM(D18:D19,D36:D37)*75</f>
        <v>0</v>
      </c>
      <c r="E58" s="60">
        <f t="shared" si="6"/>
        <v>0</v>
      </c>
      <c r="F58" s="60">
        <f t="shared" si="6"/>
        <v>0</v>
      </c>
      <c r="G58" s="60">
        <f t="shared" si="6"/>
        <v>0</v>
      </c>
      <c r="H58" s="60">
        <f t="shared" si="6"/>
        <v>0</v>
      </c>
      <c r="I58" s="60">
        <f t="shared" si="6"/>
        <v>0</v>
      </c>
      <c r="J58" s="72"/>
      <c r="L58" s="35"/>
    </row>
    <row r="59" spans="1:12" x14ac:dyDescent="0.25">
      <c r="B59" s="13" t="s">
        <v>35</v>
      </c>
      <c r="C59" s="13"/>
      <c r="D59" s="59">
        <f t="shared" ref="D59:I59" si="7">(SUM(D20:D21,D38:D46))*75</f>
        <v>0</v>
      </c>
      <c r="E59" s="59">
        <f t="shared" si="7"/>
        <v>0</v>
      </c>
      <c r="F59" s="59">
        <f t="shared" si="7"/>
        <v>0</v>
      </c>
      <c r="G59" s="59">
        <f t="shared" si="7"/>
        <v>0</v>
      </c>
      <c r="H59" s="59">
        <f t="shared" si="7"/>
        <v>0</v>
      </c>
      <c r="I59" s="59">
        <f t="shared" si="7"/>
        <v>0</v>
      </c>
      <c r="J59" s="72"/>
      <c r="L59" s="35"/>
    </row>
    <row r="60" spans="1:12" x14ac:dyDescent="0.25">
      <c r="B60" s="12" t="s">
        <v>47</v>
      </c>
      <c r="C60" s="12"/>
      <c r="D60" s="60">
        <f t="shared" ref="D60:I60" si="8">SUM(D13,D46:D47)*75</f>
        <v>0</v>
      </c>
      <c r="E60" s="60">
        <f t="shared" si="8"/>
        <v>0</v>
      </c>
      <c r="F60" s="60">
        <f t="shared" si="8"/>
        <v>0</v>
      </c>
      <c r="G60" s="60">
        <f t="shared" si="8"/>
        <v>0</v>
      </c>
      <c r="H60" s="60">
        <f t="shared" si="8"/>
        <v>0</v>
      </c>
      <c r="I60" s="60">
        <f t="shared" si="8"/>
        <v>0</v>
      </c>
      <c r="J60" s="72"/>
      <c r="L60" s="35"/>
    </row>
    <row r="61" spans="1:12" x14ac:dyDescent="0.25">
      <c r="B61" s="13"/>
      <c r="C61" s="13"/>
      <c r="D61" s="59"/>
      <c r="E61" s="59"/>
      <c r="F61" s="59"/>
      <c r="G61" s="59"/>
      <c r="H61" s="59"/>
      <c r="I61" s="59"/>
      <c r="J61" s="72"/>
      <c r="L61" s="35"/>
    </row>
    <row r="62" spans="1:12" x14ac:dyDescent="0.25">
      <c r="B62" s="39" t="s">
        <v>7</v>
      </c>
      <c r="C62" s="39"/>
      <c r="D62" s="8">
        <f t="shared" ref="D62:I62" si="9">SUM(D11:D24)*75</f>
        <v>0</v>
      </c>
      <c r="E62" s="8">
        <f t="shared" si="9"/>
        <v>0</v>
      </c>
      <c r="F62" s="8">
        <f t="shared" si="9"/>
        <v>0</v>
      </c>
      <c r="G62" s="8">
        <f t="shared" si="9"/>
        <v>0</v>
      </c>
      <c r="H62" s="8">
        <f t="shared" si="9"/>
        <v>0</v>
      </c>
      <c r="I62" s="8">
        <f t="shared" si="9"/>
        <v>0</v>
      </c>
      <c r="J62" s="71"/>
      <c r="L62" s="35"/>
    </row>
    <row r="63" spans="1:12" x14ac:dyDescent="0.25">
      <c r="B63" s="40" t="s">
        <v>14</v>
      </c>
      <c r="C63" s="40"/>
      <c r="D63" s="10">
        <f>SUM(D29:D47)*75</f>
        <v>0</v>
      </c>
      <c r="E63" s="10">
        <f t="shared" ref="E63:I63" si="10">SUM(E29:E47)*75</f>
        <v>0</v>
      </c>
      <c r="F63" s="10">
        <f t="shared" si="10"/>
        <v>0</v>
      </c>
      <c r="G63" s="10">
        <f t="shared" si="10"/>
        <v>0</v>
      </c>
      <c r="H63" s="10">
        <f t="shared" si="10"/>
        <v>0</v>
      </c>
      <c r="I63" s="10">
        <f t="shared" si="10"/>
        <v>0</v>
      </c>
      <c r="J63" s="71"/>
      <c r="L63" s="35"/>
    </row>
    <row r="64" spans="1:12" x14ac:dyDescent="0.25">
      <c r="B64" s="39" t="s">
        <v>40</v>
      </c>
      <c r="C64" s="39"/>
      <c r="D64" s="8">
        <f>SUM(D62:D63)</f>
        <v>0</v>
      </c>
      <c r="E64" s="8">
        <f t="shared" ref="E64:I64" si="11">SUM(E62:E63)</f>
        <v>0</v>
      </c>
      <c r="F64" s="8">
        <f t="shared" si="11"/>
        <v>0</v>
      </c>
      <c r="G64" s="8">
        <f t="shared" si="11"/>
        <v>0</v>
      </c>
      <c r="H64" s="8">
        <f t="shared" si="11"/>
        <v>0</v>
      </c>
      <c r="I64" s="8">
        <f t="shared" si="11"/>
        <v>0</v>
      </c>
      <c r="J64" s="71"/>
    </row>
    <row r="65" spans="2:12" x14ac:dyDescent="0.25">
      <c r="B65" s="41"/>
      <c r="C65" s="42"/>
      <c r="D65" s="42"/>
      <c r="E65" s="42"/>
      <c r="F65" s="42"/>
      <c r="G65" s="42"/>
      <c r="H65" s="42"/>
      <c r="J65" s="73"/>
    </row>
    <row r="66" spans="2:12" x14ac:dyDescent="0.25">
      <c r="B66" s="43" t="s">
        <v>36</v>
      </c>
      <c r="C66" s="86" t="s">
        <v>39</v>
      </c>
      <c r="D66" s="87"/>
      <c r="E66" s="87"/>
      <c r="F66" s="87"/>
      <c r="G66" s="87"/>
      <c r="H66" s="87"/>
      <c r="I66" s="88"/>
      <c r="J66" s="70"/>
      <c r="L66" s="35"/>
    </row>
    <row r="67" spans="2:12" x14ac:dyDescent="0.25">
      <c r="B67" s="12" t="s">
        <v>37</v>
      </c>
      <c r="C67" s="12"/>
      <c r="D67" s="8" t="str">
        <f>CONCATENATE("Uke ",IF(D10=0,"",D10))</f>
        <v>Uke 2</v>
      </c>
      <c r="E67" s="8" t="str">
        <f>CONCATENATE("Uke ",E10)</f>
        <v>Uke 3</v>
      </c>
      <c r="F67" s="8" t="str">
        <f>CONCATENATE("Uke ",F10)</f>
        <v>Uke 4</v>
      </c>
      <c r="G67" s="8" t="str">
        <f>CONCATENATE("Uke ",G10)</f>
        <v>Uke 5</v>
      </c>
      <c r="H67" s="8" t="str">
        <f>CONCATENATE("Uke ",H10)</f>
        <v>Uke 6</v>
      </c>
      <c r="I67" s="8" t="str">
        <f>CONCATENATE("Uke ",I10)</f>
        <v>Uke 7</v>
      </c>
      <c r="J67" s="71"/>
      <c r="K67" s="35" t="s">
        <v>37</v>
      </c>
      <c r="L67" s="35" t="s">
        <v>37</v>
      </c>
    </row>
    <row r="68" spans="2:12" x14ac:dyDescent="0.25">
      <c r="B68" s="13" t="s">
        <v>38</v>
      </c>
      <c r="C68" s="13"/>
      <c r="D68" s="59">
        <f t="shared" ref="D68:I68" si="12">SUM(D11,D27)</f>
        <v>0</v>
      </c>
      <c r="E68" s="59">
        <f t="shared" si="12"/>
        <v>0</v>
      </c>
      <c r="F68" s="59">
        <f t="shared" si="12"/>
        <v>0</v>
      </c>
      <c r="G68" s="59">
        <f t="shared" si="12"/>
        <v>0</v>
      </c>
      <c r="H68" s="59">
        <f t="shared" si="12"/>
        <v>0</v>
      </c>
      <c r="I68" s="59">
        <f t="shared" si="12"/>
        <v>0</v>
      </c>
      <c r="J68" s="72"/>
      <c r="K68" s="35" t="s">
        <v>37</v>
      </c>
      <c r="L68" s="35" t="s">
        <v>37</v>
      </c>
    </row>
    <row r="69" spans="2:12" x14ac:dyDescent="0.25">
      <c r="B69" s="12" t="s">
        <v>32</v>
      </c>
      <c r="C69" s="12"/>
      <c r="D69" s="60">
        <f t="shared" ref="D69:I69" si="13">SUM(D14:D15,D31:D34)</f>
        <v>0</v>
      </c>
      <c r="E69" s="60">
        <f t="shared" si="13"/>
        <v>0</v>
      </c>
      <c r="F69" s="60">
        <f t="shared" si="13"/>
        <v>0</v>
      </c>
      <c r="G69" s="60">
        <f t="shared" si="13"/>
        <v>0</v>
      </c>
      <c r="H69" s="60">
        <f t="shared" si="13"/>
        <v>0</v>
      </c>
      <c r="I69" s="60">
        <f t="shared" si="13"/>
        <v>0</v>
      </c>
      <c r="J69" s="72"/>
      <c r="K69" s="35" t="s">
        <v>37</v>
      </c>
      <c r="L69" s="35"/>
    </row>
    <row r="70" spans="2:12" x14ac:dyDescent="0.25">
      <c r="B70" s="13" t="s">
        <v>33</v>
      </c>
      <c r="C70" s="13"/>
      <c r="D70" s="59">
        <f t="shared" ref="D70:I70" si="14">(SUM(D16:D17,D29:D30,D12))</f>
        <v>0</v>
      </c>
      <c r="E70" s="59">
        <f t="shared" si="14"/>
        <v>0</v>
      </c>
      <c r="F70" s="59">
        <f t="shared" si="14"/>
        <v>0</v>
      </c>
      <c r="G70" s="59">
        <f t="shared" si="14"/>
        <v>0</v>
      </c>
      <c r="H70" s="59">
        <f t="shared" si="14"/>
        <v>0</v>
      </c>
      <c r="I70" s="59">
        <f t="shared" si="14"/>
        <v>0</v>
      </c>
      <c r="J70" s="72"/>
      <c r="K70" s="35" t="s">
        <v>37</v>
      </c>
      <c r="L70" s="35" t="s">
        <v>37</v>
      </c>
    </row>
    <row r="71" spans="2:12" x14ac:dyDescent="0.25">
      <c r="B71" s="12" t="s">
        <v>34</v>
      </c>
      <c r="C71" s="12"/>
      <c r="D71" s="60">
        <f t="shared" ref="D71:I71" si="15">SUM(D18:D19,D36:D37)</f>
        <v>0</v>
      </c>
      <c r="E71" s="60">
        <f t="shared" si="15"/>
        <v>0</v>
      </c>
      <c r="F71" s="60">
        <f t="shared" si="15"/>
        <v>0</v>
      </c>
      <c r="G71" s="60">
        <f t="shared" si="15"/>
        <v>0</v>
      </c>
      <c r="H71" s="60">
        <f t="shared" si="15"/>
        <v>0</v>
      </c>
      <c r="I71" s="60">
        <f t="shared" si="15"/>
        <v>0</v>
      </c>
      <c r="J71" s="72"/>
      <c r="K71" s="35" t="s">
        <v>46</v>
      </c>
      <c r="L71" s="35" t="s">
        <v>37</v>
      </c>
    </row>
    <row r="72" spans="2:12" x14ac:dyDescent="0.25">
      <c r="B72" s="13" t="s">
        <v>35</v>
      </c>
      <c r="C72" s="13"/>
      <c r="D72" s="59">
        <f t="shared" ref="D72:I72" si="16">(SUM(D20:D21,D38:D45))</f>
        <v>0</v>
      </c>
      <c r="E72" s="59">
        <f t="shared" si="16"/>
        <v>0</v>
      </c>
      <c r="F72" s="59">
        <f t="shared" si="16"/>
        <v>0</v>
      </c>
      <c r="G72" s="59">
        <f t="shared" si="16"/>
        <v>0</v>
      </c>
      <c r="H72" s="59">
        <f t="shared" si="16"/>
        <v>0</v>
      </c>
      <c r="I72" s="59">
        <f t="shared" si="16"/>
        <v>0</v>
      </c>
      <c r="J72" s="72"/>
      <c r="K72" s="35" t="s">
        <v>37</v>
      </c>
      <c r="L72" s="35"/>
    </row>
    <row r="73" spans="2:12" x14ac:dyDescent="0.25">
      <c r="B73" s="12" t="s">
        <v>47</v>
      </c>
      <c r="C73" s="12"/>
      <c r="D73" s="60">
        <f t="shared" ref="D73:I73" si="17">SUM(D13,D46:D48)</f>
        <v>0</v>
      </c>
      <c r="E73" s="60">
        <f t="shared" si="17"/>
        <v>0</v>
      </c>
      <c r="F73" s="60">
        <f t="shared" si="17"/>
        <v>0</v>
      </c>
      <c r="G73" s="60">
        <f t="shared" si="17"/>
        <v>0</v>
      </c>
      <c r="H73" s="60">
        <f t="shared" si="17"/>
        <v>0</v>
      </c>
      <c r="I73" s="60">
        <f t="shared" si="17"/>
        <v>0</v>
      </c>
      <c r="J73" s="72"/>
      <c r="L73" s="35"/>
    </row>
    <row r="74" spans="2:12" x14ac:dyDescent="0.25">
      <c r="B74" s="43"/>
      <c r="C74" s="43"/>
      <c r="D74" s="61"/>
      <c r="E74" s="61"/>
      <c r="F74" s="61"/>
      <c r="G74" s="61"/>
      <c r="H74" s="61"/>
      <c r="I74" s="61"/>
      <c r="J74" s="70"/>
      <c r="K74" s="35" t="s">
        <v>37</v>
      </c>
      <c r="L74" s="35" t="s">
        <v>37</v>
      </c>
    </row>
    <row r="75" spans="2:12" x14ac:dyDescent="0.25">
      <c r="B75" s="39" t="s">
        <v>7</v>
      </c>
      <c r="C75" s="39"/>
      <c r="D75" s="8">
        <f t="shared" ref="D75:I75" si="18">SUM(D11:D24)</f>
        <v>0</v>
      </c>
      <c r="E75" s="8">
        <f t="shared" si="18"/>
        <v>0</v>
      </c>
      <c r="F75" s="8">
        <f t="shared" si="18"/>
        <v>0</v>
      </c>
      <c r="G75" s="8">
        <f t="shared" si="18"/>
        <v>0</v>
      </c>
      <c r="H75" s="8">
        <f t="shared" si="18"/>
        <v>0</v>
      </c>
      <c r="I75" s="8">
        <f t="shared" si="18"/>
        <v>0</v>
      </c>
      <c r="J75" s="71"/>
      <c r="K75" s="35" t="s">
        <v>37</v>
      </c>
      <c r="L75" s="35"/>
    </row>
    <row r="76" spans="2:12" x14ac:dyDescent="0.25">
      <c r="B76" s="43" t="s">
        <v>14</v>
      </c>
      <c r="C76" s="43"/>
      <c r="D76" s="61">
        <f t="shared" ref="D76:I76" si="19">SUM(D27:D48)</f>
        <v>0</v>
      </c>
      <c r="E76" s="61">
        <f t="shared" si="19"/>
        <v>0</v>
      </c>
      <c r="F76" s="61">
        <f t="shared" si="19"/>
        <v>0</v>
      </c>
      <c r="G76" s="61">
        <f t="shared" si="19"/>
        <v>0</v>
      </c>
      <c r="H76" s="61">
        <f t="shared" si="19"/>
        <v>0</v>
      </c>
      <c r="I76" s="61">
        <f t="shared" si="19"/>
        <v>0</v>
      </c>
      <c r="J76" s="70"/>
      <c r="K76" s="35" t="s">
        <v>37</v>
      </c>
      <c r="L76" s="35"/>
    </row>
    <row r="77" spans="2:12" x14ac:dyDescent="0.25">
      <c r="B77" s="39" t="s">
        <v>40</v>
      </c>
      <c r="C77" s="39"/>
      <c r="D77" s="8">
        <f>SUM(D75:D76)</f>
        <v>0</v>
      </c>
      <c r="E77" s="8">
        <f t="shared" ref="E77:I77" si="20">SUM(E75:E76)</f>
        <v>0</v>
      </c>
      <c r="F77" s="8">
        <f t="shared" si="20"/>
        <v>0</v>
      </c>
      <c r="G77" s="8">
        <f t="shared" si="20"/>
        <v>0</v>
      </c>
      <c r="H77" s="8">
        <f t="shared" si="20"/>
        <v>0</v>
      </c>
      <c r="I77" s="8">
        <f t="shared" si="20"/>
        <v>0</v>
      </c>
      <c r="J77" s="71"/>
      <c r="K77" s="35" t="s">
        <v>46</v>
      </c>
    </row>
    <row r="78" spans="2:12" x14ac:dyDescent="0.25">
      <c r="B78" s="44"/>
      <c r="C78" s="62"/>
      <c r="D78" s="62"/>
      <c r="E78" s="62"/>
      <c r="F78" s="62"/>
      <c r="G78" s="62"/>
      <c r="H78" s="62"/>
      <c r="I78" s="63"/>
      <c r="J78" s="74"/>
    </row>
    <row r="79" spans="2:12" x14ac:dyDescent="0.25">
      <c r="B79" s="45"/>
      <c r="C79" s="64"/>
      <c r="D79" s="64"/>
      <c r="E79" s="64"/>
      <c r="F79" s="64"/>
      <c r="G79" s="64"/>
      <c r="H79" s="64"/>
      <c r="I79" s="29"/>
      <c r="J79" s="75"/>
      <c r="L79" s="35"/>
    </row>
    <row r="80" spans="2:12" x14ac:dyDescent="0.25">
      <c r="B80" s="43" t="s">
        <v>12</v>
      </c>
      <c r="C80" s="61">
        <f>SUM(D80:I80)</f>
        <v>0</v>
      </c>
      <c r="D80" s="61">
        <f t="shared" ref="D80:I80" si="21">+SUMIF($A$11:$A$48,"x",D$11:D$48)</f>
        <v>0</v>
      </c>
      <c r="E80" s="61">
        <f t="shared" si="21"/>
        <v>0</v>
      </c>
      <c r="F80" s="61">
        <f t="shared" si="21"/>
        <v>0</v>
      </c>
      <c r="G80" s="61">
        <f t="shared" si="21"/>
        <v>0</v>
      </c>
      <c r="H80" s="61">
        <f t="shared" si="21"/>
        <v>0</v>
      </c>
      <c r="I80" s="65">
        <f t="shared" si="21"/>
        <v>0</v>
      </c>
      <c r="J80" s="70"/>
      <c r="L80" s="35"/>
    </row>
    <row r="81" spans="2:10" x14ac:dyDescent="0.25">
      <c r="B81" s="39" t="s">
        <v>13</v>
      </c>
      <c r="C81" s="8">
        <f>SUM(D81:I81)</f>
        <v>0</v>
      </c>
      <c r="D81" s="8">
        <f t="shared" ref="D81:I81" si="22">+D77-D80</f>
        <v>0</v>
      </c>
      <c r="E81" s="8">
        <f t="shared" si="22"/>
        <v>0</v>
      </c>
      <c r="F81" s="8">
        <f t="shared" si="22"/>
        <v>0</v>
      </c>
      <c r="G81" s="8">
        <f t="shared" si="22"/>
        <v>0</v>
      </c>
      <c r="H81" s="8">
        <f t="shared" si="22"/>
        <v>0</v>
      </c>
      <c r="I81" s="8">
        <f t="shared" si="22"/>
        <v>0</v>
      </c>
      <c r="J81" s="71"/>
    </row>
    <row r="82" spans="2:10" x14ac:dyDescent="0.25">
      <c r="I82" s="46"/>
      <c r="J82" s="46"/>
    </row>
    <row r="83" spans="2:10" x14ac:dyDescent="0.25">
      <c r="D83" s="17" t="s">
        <v>37</v>
      </c>
    </row>
  </sheetData>
  <mergeCells count="4">
    <mergeCell ref="B7:B8"/>
    <mergeCell ref="B51:I52"/>
    <mergeCell ref="C53:I53"/>
    <mergeCell ref="C66:I66"/>
  </mergeCells>
  <phoneticPr fontId="0" type="noConversion"/>
  <pageMargins left="0.43307086614173229" right="0.23622047244094491" top="0.27559055118110237" bottom="0.15748031496062992" header="0.15748031496062992" footer="0.15748031496062992"/>
  <pageSetup paperSize="8" scale="70" fitToWidth="0" fitToHeight="0" orientation="landscape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>
  <documentManagement>
    <Uke_x0020_nr xmlns="97796e02-7b43-4409-a2b8-55e4a0caa4dd" xsi:nil="true"/>
    <Installasjon xmlns="97796e02-7b43-4409-a2b8-55e4a0caa4dd">
      <Value>N/A</Value>
    </Installasjon>
    <j25543a5815d485da9a5e0773ad762e9 xmlns="97796e02-7b43-4409-a2b8-55e4a0caa4dd">
      <Terms xmlns="http://schemas.microsoft.com/office/infopath/2007/PartnerControls">
        <TermInfo xmlns="http://schemas.microsoft.com/office/infopath/2007/PartnerControls">
          <TermName xmlns="http://schemas.microsoft.com/office/infopath/2007/PartnerControls">Konsept</TermName>
          <TermId xmlns="http://schemas.microsoft.com/office/infopath/2007/PartnerControls">99e85650-33de-4af4-b8db-edffbc8a310b</TermId>
        </TermInfo>
      </Terms>
    </j25543a5815d485da9a5e0773ad762e9>
    <be438cd874c24a57b2d07aa763068543 xmlns="97796e02-7b43-4409-a2b8-55e4a0caa4dd">
      <Terms xmlns="http://schemas.microsoft.com/office/infopath/2007/PartnerControls">
        <TermInfo xmlns="http://schemas.microsoft.com/office/infopath/2007/PartnerControls">
          <TermName xmlns="http://schemas.microsoft.com/office/infopath/2007/PartnerControls">Bemanning</TermName>
          <TermId xmlns="http://schemas.microsoft.com/office/infopath/2007/PartnerControls">5aaea813-734f-4432-9f9b-85ce1f8658fc</TermId>
        </TermInfo>
      </Terms>
    </be438cd874c24a57b2d07aa763068543>
    <Klassifisering xmlns="97796e02-7b43-4409-a2b8-55e4a0caa4dd">Åpent</Klassifisering>
    <TaxCatchAll xmlns="0b498c04-8c52-44c7-b578-0c4283b776a3">
      <Value>6</Value>
      <Value>136</Value>
      <Value>30</Value>
      <Value>2</Value>
    </TaxCatchAll>
    <ea05255b1def4b01af5ec2f1be522c47 xmlns="97796e02-7b43-4409-a2b8-55e4a0caa4dd">
      <Terms xmlns="http://schemas.microsoft.com/office/infopath/2007/PartnerControls"/>
    </ea05255b1def4b01af5ec2f1be522c47>
    <m31ece5269664ebbbba4c348956be4d8 xmlns="97796e02-7b43-4409-a2b8-55e4a0caa4dd">
      <Terms xmlns="http://schemas.microsoft.com/office/infopath/2007/PartnerControls"/>
    </m31ece5269664ebbbba4c348956be4d8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Prosjekt Dokumentasjon" ma:contentTypeID="0x010100293FDE3FCADA480B9A77BBDAD7DFA28C01010400EA5598FF6837694287A66025EC098EEA" ma:contentTypeVersion="28" ma:contentTypeDescription="" ma:contentTypeScope="" ma:versionID="9e23ecefc476410e240100e518f6eb6e">
  <xsd:schema xmlns:xsd="http://www.w3.org/2001/XMLSchema" xmlns:xs="http://www.w3.org/2001/XMLSchema" xmlns:p="http://schemas.microsoft.com/office/2006/metadata/properties" xmlns:ns2="97796e02-7b43-4409-a2b8-55e4a0caa4dd" xmlns:ns3="0b498c04-8c52-44c7-b578-0c4283b776a3" targetNamespace="http://schemas.microsoft.com/office/2006/metadata/properties" ma:root="true" ma:fieldsID="1680cf5bc2566dae1d589ec21be3eb7f" ns2:_="" ns3:_="">
    <xsd:import namespace="97796e02-7b43-4409-a2b8-55e4a0caa4dd"/>
    <xsd:import namespace="0b498c04-8c52-44c7-b578-0c4283b776a3"/>
    <xsd:element name="properties">
      <xsd:complexType>
        <xsd:sequence>
          <xsd:element name="documentManagement">
            <xsd:complexType>
              <xsd:all>
                <xsd:element ref="ns2:Klassifisering" minOccurs="0"/>
                <xsd:element ref="ns2:Uke_x0020_nr" minOccurs="0"/>
                <xsd:element ref="ns2:Installasjon" minOccurs="0"/>
                <xsd:element ref="ns2:be438cd874c24a57b2d07aa763068543" minOccurs="0"/>
                <xsd:element ref="ns2:ea05255b1def4b01af5ec2f1be522c47" minOccurs="0"/>
                <xsd:element ref="ns2:j25543a5815d485da9a5e0773ad762e9" minOccurs="0"/>
                <xsd:element ref="ns3:TaxCatchAll" minOccurs="0"/>
                <xsd:element ref="ns2:m31ece5269664ebbbba4c348956be4d8" minOccurs="0"/>
                <xsd:element ref="ns3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796e02-7b43-4409-a2b8-55e4a0caa4dd" elementFormDefault="qualified">
    <xsd:import namespace="http://schemas.microsoft.com/office/2006/documentManagement/types"/>
    <xsd:import namespace="http://schemas.microsoft.com/office/infopath/2007/PartnerControls"/>
    <xsd:element name="Klassifisering" ma:index="7" nillable="true" ma:displayName="Klassifisering" ma:default="Åpent" ma:format="Dropdown" ma:internalName="Klassifisering">
      <xsd:simpleType>
        <xsd:restriction base="dms:Choice">
          <xsd:enumeration value="Åpent"/>
          <xsd:enumeration value="Internt"/>
          <xsd:enumeration value="Konfidensiell Internt"/>
          <xsd:enumeration value="Sensitiv"/>
        </xsd:restriction>
      </xsd:simpleType>
    </xsd:element>
    <xsd:element name="Uke_x0020_nr" ma:index="9" nillable="true" ma:displayName="Uke nr" ma:decimals="0" ma:internalName="Uke_x0020_nr">
      <xsd:simpleType>
        <xsd:restriction base="dms:Number">
          <xsd:maxInclusive value="53"/>
          <xsd:minInclusive value="1"/>
        </xsd:restriction>
      </xsd:simpleType>
    </xsd:element>
    <xsd:element name="Installasjon" ma:index="11" nillable="true" ma:displayName="Installasjon" ma:default="N/A" ma:internalName="Installasjon" ma:readOnly="fals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Draupner"/>
                    <xsd:enumeration value="Grane"/>
                    <xsd:enumeration value="GFA"/>
                    <xsd:enumeration value="GFB"/>
                    <xsd:enumeration value="GFC"/>
                    <xsd:enumeration value="Kvitebjørn"/>
                    <xsd:enumeration value="SFA"/>
                    <xsd:enumeration value="SFB"/>
                    <xsd:enumeration value="SFC"/>
                    <xsd:enumeration value="Valemon"/>
                    <xsd:enumeration value="Visund"/>
                    <xsd:enumeration value="N/A"/>
                  </xsd:restriction>
                </xsd:simpleType>
              </xsd:element>
            </xsd:sequence>
          </xsd:extension>
        </xsd:complexContent>
      </xsd:complexType>
    </xsd:element>
    <xsd:element name="be438cd874c24a57b2d07aa763068543" ma:index="12" ma:taxonomy="true" ma:internalName="be438cd874c24a57b2d07aa763068543" ma:taxonomyFieldName="Prosjektaktivitet" ma:displayName="Prosjektaktivitet" ma:readOnly="false" ma:default="" ma:fieldId="{be438cd8-74c2-4a57-b2d0-7aa763068543}" ma:sspId="38238b15-fc0e-45d3-9bb5-873417e9b0ee" ma:termSetId="bb642a42-16a0-4579-bb12-769d94c682d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a05255b1def4b01af5ec2f1be522c47" ma:index="17" nillable="true" ma:taxonomy="true" ma:internalName="ea05255b1def4b01af5ec2f1be522c47" ma:taxonomyFieldName="Disiplin" ma:displayName="Disiplin" ma:readOnly="false" ma:default="" ma:fieldId="{ea05255b-1def-4b01-af5e-c2f1be522c47}" ma:sspId="38238b15-fc0e-45d3-9bb5-873417e9b0ee" ma:termSetId="93289846-9b71-4f32-a450-ac31af41873c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j25543a5815d485da9a5e0773ad762e9" ma:index="19" ma:taxonomy="true" ma:internalName="j25543a5815d485da9a5e0773ad762e9" ma:taxonomyFieldName="GtProjectPhase" ma:displayName="Fase" ma:indexed="true" ma:readOnly="false" ma:fieldId="{325543a5-815d-485d-a9a5-e0773ad762e9}" ma:sspId="38238b15-fc0e-45d3-9bb5-873417e9b0ee" ma:termSetId="abcfc9d9-a263-4abb-8234-be973c46258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31ece5269664ebbbba4c348956be4d8" ma:index="22" nillable="true" ma:taxonomy="true" ma:internalName="m31ece5269664ebbbba4c348956be4d8" ma:taxonomyFieldName="mnd" ma:displayName="mnd" ma:default="" ma:fieldId="{631ece52-6966-4ebb-bba4-c348956be4d8}" ma:sspId="38238b15-fc0e-45d3-9bb5-873417e9b0ee" ma:termSetId="543b5090-1037-4614-a997-d9f030ec36fa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498c04-8c52-44c7-b578-0c4283b776a3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description="" ma:hidden="true" ma:list="{8798837d-50af-4ec0-8688-e4c64b3023c8}" ma:internalName="TaxCatchAll" ma:showField="CatchAllData" ma:web="97796e02-7b43-4409-a2b8-55e4a0caa4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3" nillable="true" ma:displayName="Taxonomy Catch All Column1" ma:description="" ma:hidden="true" ma:list="{8798837d-50af-4ec0-8688-e4c64b3023c8}" ma:internalName="TaxCatchAllLabel" ma:readOnly="true" ma:showField="CatchAllDataLabel" ma:web="97796e02-7b43-4409-a2b8-55e4a0caa4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Innholdstype"/>
        <xsd:element ref="dc:title" minOccurs="0" maxOccurs="1" ma:index="1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8B430F-808F-485D-985A-31F2F26946D5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0b498c04-8c52-44c7-b578-0c4283b776a3"/>
    <ds:schemaRef ds:uri="http://purl.org/dc/elements/1.1/"/>
    <ds:schemaRef ds:uri="97796e02-7b43-4409-a2b8-55e4a0caa4dd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B71F96C-B413-4172-85B5-FCAFC4F2018F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721A8D07-277D-44ED-A9FC-488190B76A41}">
  <ds:schemaRefs>
    <ds:schemaRef ds:uri="http://schemas.microsoft.com/office/2006/metadata/customXsn"/>
  </ds:schemaRefs>
</ds:datastoreItem>
</file>

<file path=customXml/itemProps4.xml><?xml version="1.0" encoding="utf-8"?>
<ds:datastoreItem xmlns:ds="http://schemas.openxmlformats.org/officeDocument/2006/customXml" ds:itemID="{EA907B1B-9CF3-438A-8C34-F4651A7AC9E9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6C0C2EF8-37AE-4B56-B03C-E97E32DE45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796e02-7b43-4409-a2b8-55e4a0caa4dd"/>
    <ds:schemaRef ds:uri="0b498c04-8c52-44c7-b578-0c4283b776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Navngitte områder</vt:lpstr>
      </vt:variant>
      <vt:variant>
        <vt:i4>1</vt:i4>
      </vt:variant>
    </vt:vector>
  </HeadingPairs>
  <TitlesOfParts>
    <vt:vector size="2" baseType="lpstr">
      <vt:lpstr>Bemanning</vt:lpstr>
      <vt:lpstr>Bemanning!Utskriftsområde</vt:lpstr>
    </vt:vector>
  </TitlesOfParts>
  <Company>Dalseide &amp; Fløysand Group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Administrator</dc:creator>
  <cp:lastModifiedBy>Ole Bergtun</cp:lastModifiedBy>
  <cp:lastPrinted>2013-05-07T17:55:43Z</cp:lastPrinted>
  <dcterms:created xsi:type="dcterms:W3CDTF">2003-10-22T14:09:34Z</dcterms:created>
  <dcterms:modified xsi:type="dcterms:W3CDTF">2016-09-16T12:22:43Z</dcterms:modified>
  <cp:contentStatus>Under arbeid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mråde">
    <vt:lpwstr>Personal</vt:lpwstr>
  </property>
  <property fmtid="{D5CDD505-2E9C-101B-9397-08002B2CF9AE}" pid="3" name="Dokumenttype">
    <vt:lpwstr>Personalinformasjon</vt:lpwstr>
  </property>
  <property fmtid="{D5CDD505-2E9C-101B-9397-08002B2CF9AE}" pid="4" name="Status">
    <vt:lpwstr>Ferdig</vt:lpwstr>
  </property>
  <property fmtid="{D5CDD505-2E9C-101B-9397-08002B2CF9AE}" pid="5" name="Site">
    <vt:lpwstr>Tampen</vt:lpwstr>
  </property>
  <property fmtid="{D5CDD505-2E9C-101B-9397-08002B2CF9AE}" pid="6" name="DagensDato">
    <vt:lpwstr>2008-11-02T00:00:00Z</vt:lpwstr>
  </property>
  <property fmtid="{D5CDD505-2E9C-101B-9397-08002B2CF9AE}" pid="7" name="ContentType">
    <vt:lpwstr>Dokument</vt:lpwstr>
  </property>
  <property fmtid="{D5CDD505-2E9C-101B-9397-08002B2CF9AE}" pid="8" name="Type dokument">
    <vt:lpwstr>Rotasjonsliste</vt:lpwstr>
  </property>
  <property fmtid="{D5CDD505-2E9C-101B-9397-08002B2CF9AE}" pid="9" name="display_urn:schemas-microsoft-com:office:office#Editor">
    <vt:lpwstr>Håkon Grane</vt:lpwstr>
  </property>
  <property fmtid="{D5CDD505-2E9C-101B-9397-08002B2CF9AE}" pid="10" name="_Status">
    <vt:lpwstr>Under arbeid</vt:lpwstr>
  </property>
  <property fmtid="{D5CDD505-2E9C-101B-9397-08002B2CF9AE}" pid="11" name="display_urn:schemas-microsoft-com:office:office#Author">
    <vt:lpwstr>Håkon Grane</vt:lpwstr>
  </property>
  <property fmtid="{D5CDD505-2E9C-101B-9397-08002B2CF9AE}" pid="12" name="ContentTypeId">
    <vt:lpwstr>0x010100293FDE3FCADA480B9A77BBDAD7DFA28C01010400EA5598FF6837694287A66025EC098EEA</vt:lpwstr>
  </property>
  <property fmtid="{D5CDD505-2E9C-101B-9397-08002B2CF9AE}" pid="13" name="TaxKeyword">
    <vt:lpwstr/>
  </property>
  <property fmtid="{D5CDD505-2E9C-101B-9397-08002B2CF9AE}" pid="14" name="Prosjektaktivitet">
    <vt:lpwstr>30;#Bemanning|5aaea813-734f-4432-9f9b-85ce1f8658fc</vt:lpwstr>
  </property>
  <property fmtid="{D5CDD505-2E9C-101B-9397-08002B2CF9AE}" pid="15" name="GtProjectPhase">
    <vt:lpwstr>6;#Konsept|99e85650-33de-4af4-b8db-edffbc8a310b</vt:lpwstr>
  </property>
  <property fmtid="{D5CDD505-2E9C-101B-9397-08002B2CF9AE}" pid="16" name="TaxKeywordTaxHTField">
    <vt:lpwstr/>
  </property>
  <property fmtid="{D5CDD505-2E9C-101B-9397-08002B2CF9AE}" pid="17" name="Disiplin">
    <vt:lpwstr/>
  </property>
  <property fmtid="{D5CDD505-2E9C-101B-9397-08002B2CF9AE}" pid="18" name="oe08b09205fb4ac991352d96f68a9393">
    <vt:lpwstr>Governing Document (GOV)|582f1550-29aa-45b2-900c-6a75fd3c3046</vt:lpwstr>
  </property>
  <property fmtid="{D5CDD505-2E9C-101B-9397-08002B2CF9AE}" pid="19" name="ha982e78c8664116b74e34299ad6389d">
    <vt:lpwstr>Internt|b8dbabc9-955d-42a1-bd77-cb42ffbbb3e7</vt:lpwstr>
  </property>
  <property fmtid="{D5CDD505-2E9C-101B-9397-08002B2CF9AE}" pid="20" name="mnd">
    <vt:lpwstr/>
  </property>
  <property fmtid="{D5CDD505-2E9C-101B-9397-08002B2CF9AE}" pid="21" name="Location1">
    <vt:lpwstr>2;#Governing Document (GOV)|582f1550-29aa-45b2-900c-6a75fd3c3046</vt:lpwstr>
  </property>
  <property fmtid="{D5CDD505-2E9C-101B-9397-08002B2CF9AE}" pid="22" name="Classification">
    <vt:lpwstr>136;#Internt|b8dbabc9-955d-42a1-bd77-cb42ffbbb3e7</vt:lpwstr>
  </property>
</Properties>
</file>