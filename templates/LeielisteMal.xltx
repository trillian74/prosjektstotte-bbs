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beerenberg.sharepoint.com/sites/pilot/now/Dokumenter/Templates fra Hedda/"/>
    </mc:Choice>
  </mc:AlternateContent>
  <bookViews>
    <workbookView xWindow="360" yWindow="252" windowWidth="14940" windowHeight="9156"/>
  </bookViews>
  <sheets>
    <sheet name="Utstyr leie" sheetId="3" r:id="rId1"/>
  </sheets>
  <calcPr calcId="171027"/>
</workbook>
</file>

<file path=xl/calcChain.xml><?xml version="1.0" encoding="utf-8"?>
<calcChain xmlns="http://schemas.openxmlformats.org/spreadsheetml/2006/main">
  <c r="I11" i="3" l="1"/>
  <c r="I19" i="3" s="1"/>
  <c r="I14" i="3"/>
  <c r="I18" i="3"/>
  <c r="I16" i="3"/>
  <c r="I12" i="3"/>
  <c r="I13" i="3"/>
  <c r="I15" i="3"/>
  <c r="I17" i="3"/>
</calcChain>
</file>

<file path=xl/sharedStrings.xml><?xml version="1.0" encoding="utf-8"?>
<sst xmlns="http://schemas.openxmlformats.org/spreadsheetml/2006/main" count="44" uniqueCount="39">
  <si>
    <t>Installasjon:</t>
  </si>
  <si>
    <t>WBS:</t>
  </si>
  <si>
    <t>A.O.:</t>
  </si>
  <si>
    <t xml:space="preserve"> Leie av utstyr</t>
  </si>
  <si>
    <t>Beskrivelse av utstyret</t>
  </si>
  <si>
    <t>Dato levert Statoil base</t>
  </si>
  <si>
    <t>Dato returnert Statoil base</t>
  </si>
  <si>
    <t>Dato:</t>
  </si>
  <si>
    <t>Antall</t>
  </si>
  <si>
    <t xml:space="preserve">Malerpumpe king 68:1  </t>
  </si>
  <si>
    <t xml:space="preserve">Blåseapparat 200 liter komplett med 3 meter slanger/forløpere og dyser </t>
  </si>
  <si>
    <t>Dagrate        pr.enhet</t>
  </si>
  <si>
    <t xml:space="preserve"> Mnd.rate      pr.enhet</t>
  </si>
  <si>
    <t>Total nok</t>
  </si>
  <si>
    <t>Woma 63 1 uttak A komplett</t>
  </si>
  <si>
    <t xml:space="preserve"> </t>
  </si>
  <si>
    <t>TOTALT</t>
  </si>
  <si>
    <t>Scantec høyrykksvasker kompl</t>
  </si>
  <si>
    <t>Totalt antall dager med leie</t>
  </si>
  <si>
    <t xml:space="preserve"> Statoil sign:</t>
  </si>
  <si>
    <t>Blåseklokke 100 liter</t>
  </si>
  <si>
    <t>Woma 550 Z Diesel 1000bar.</t>
  </si>
  <si>
    <t>vakumsuger komplett med tank.</t>
  </si>
  <si>
    <t>vakumsuger liten</t>
  </si>
  <si>
    <t>:</t>
  </si>
  <si>
    <t xml:space="preserve">Mob     demob   </t>
  </si>
  <si>
    <t>Service nr mob/demob</t>
  </si>
  <si>
    <t>Servicenr. statoil</t>
  </si>
  <si>
    <t>Beerenberg  Sign</t>
  </si>
  <si>
    <t>Leieliste (mnd) 2015</t>
  </si>
  <si>
    <t>PO.4503159119</t>
  </si>
  <si>
    <t>6441028/29</t>
  </si>
  <si>
    <t>6441036/37</t>
  </si>
  <si>
    <t>Grane</t>
  </si>
  <si>
    <t>6441038/39</t>
  </si>
  <si>
    <t>6441040/41</t>
  </si>
  <si>
    <t>6441042/43</t>
  </si>
  <si>
    <t>6441046/47</t>
  </si>
  <si>
    <t>6441048/49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</si>
</sst>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1" formatCode="_ * #,##0.00_ ;_ * \-#,##0.00_ ;_ * &quot;-&quot;??_ ;_ @_ "/>
    <numFmt numFmtId="179" formatCode="_(* #,##0.00_);_(* \(#,##0.00\);_(* &quot;-&quot;??_);_(@_)"/>
  </numFmts>
  <fonts count="10" x14ac:knownFonts="1">
    <font>
      <sz val="10"/>
      <name val="Arial"/>
    </font>
    <font>
      <sz val="10"/>
      <name val="Arial"/>
    </font>
    <font>
      <b/>
      <sz val="14"/>
      <name val="Arial"/>
      <family val="2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EFEA8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79" fontId="1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applyBorder="1"/>
    <xf numFmtId="0" fontId="5" fillId="0" borderId="0" xfId="0" applyFont="1"/>
    <xf numFmtId="3" fontId="5" fillId="0" borderId="0" xfId="0" applyNumberFormat="1" applyFont="1"/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2" xfId="0" applyBorder="1"/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6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0" fillId="0" borderId="7" xfId="0" applyBorder="1"/>
    <xf numFmtId="0" fontId="0" fillId="3" borderId="6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8" xfId="0" applyBorder="1"/>
    <xf numFmtId="0" fontId="2" fillId="0" borderId="0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2" xfId="0" applyNumberFormat="1" applyBorder="1"/>
    <xf numFmtId="0" fontId="5" fillId="5" borderId="0" xfId="0" applyFont="1" applyFill="1" applyBorder="1" applyAlignment="1"/>
    <xf numFmtId="0" fontId="5" fillId="5" borderId="0" xfId="0" applyFont="1" applyFill="1" applyBorder="1" applyAlignment="1">
      <alignment horizontal="left"/>
    </xf>
    <xf numFmtId="0" fontId="2" fillId="5" borderId="0" xfId="0" applyFont="1" applyFill="1" applyBorder="1"/>
    <xf numFmtId="14" fontId="2" fillId="0" borderId="2" xfId="0" applyNumberFormat="1" applyFont="1" applyBorder="1" applyAlignment="1">
      <alignment horizontal="center"/>
    </xf>
    <xf numFmtId="16" fontId="8" fillId="0" borderId="2" xfId="0" applyNumberFormat="1" applyFont="1" applyBorder="1"/>
    <xf numFmtId="0" fontId="9" fillId="0" borderId="0" xfId="0" applyFont="1"/>
    <xf numFmtId="0" fontId="4" fillId="5" borderId="12" xfId="0" applyFont="1" applyFill="1" applyBorder="1" applyAlignment="1">
      <alignment vertical="top" wrapText="1"/>
    </xf>
    <xf numFmtId="0" fontId="4" fillId="5" borderId="1" xfId="0" applyFont="1" applyFill="1" applyBorder="1" applyAlignment="1">
      <alignment vertical="top" wrapText="1"/>
    </xf>
    <xf numFmtId="0" fontId="0" fillId="5" borderId="13" xfId="0" applyFill="1" applyBorder="1"/>
    <xf numFmtId="0" fontId="5" fillId="5" borderId="12" xfId="0" applyFont="1" applyFill="1" applyBorder="1"/>
    <xf numFmtId="0" fontId="5" fillId="5" borderId="1" xfId="0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/>
    <xf numFmtId="0" fontId="5" fillId="5" borderId="1" xfId="0" applyFont="1" applyFill="1" applyBorder="1"/>
    <xf numFmtId="179" fontId="5" fillId="5" borderId="1" xfId="1" applyFont="1" applyFill="1" applyBorder="1"/>
    <xf numFmtId="0" fontId="4" fillId="6" borderId="12" xfId="0" applyFont="1" applyFill="1" applyBorder="1" applyAlignment="1">
      <alignment horizontal="center" vertical="top" wrapText="1"/>
    </xf>
    <xf numFmtId="171" fontId="0" fillId="6" borderId="1" xfId="0" applyNumberFormat="1" applyFill="1" applyBorder="1"/>
    <xf numFmtId="171" fontId="0" fillId="6" borderId="0" xfId="0" applyNumberFormat="1" applyFill="1"/>
    <xf numFmtId="14" fontId="4" fillId="6" borderId="12" xfId="0" applyNumberFormat="1" applyFont="1" applyFill="1" applyBorder="1" applyAlignment="1">
      <alignment horizontal="center" vertical="top" wrapText="1"/>
    </xf>
    <xf numFmtId="14" fontId="0" fillId="6" borderId="12" xfId="0" applyNumberFormat="1" applyFill="1" applyBorder="1"/>
    <xf numFmtId="0" fontId="0" fillId="6" borderId="12" xfId="0" applyFill="1" applyBorder="1"/>
    <xf numFmtId="179" fontId="1" fillId="6" borderId="12" xfId="1" applyFill="1" applyBorder="1"/>
    <xf numFmtId="3" fontId="7" fillId="6" borderId="1" xfId="1" applyNumberFormat="1" applyFont="1" applyFill="1" applyBorder="1"/>
    <xf numFmtId="3" fontId="1" fillId="6" borderId="1" xfId="1" applyNumberFormat="1" applyFill="1" applyBorder="1"/>
    <xf numFmtId="0" fontId="4" fillId="6" borderId="1" xfId="0" applyFont="1" applyFill="1" applyBorder="1" applyAlignment="1">
      <alignment horizontal="center" vertical="top" wrapText="1"/>
    </xf>
    <xf numFmtId="14" fontId="4" fillId="6" borderId="1" xfId="0" applyNumberFormat="1" applyFont="1" applyFill="1" applyBorder="1" applyAlignment="1">
      <alignment horizontal="center" vertical="top" wrapText="1"/>
    </xf>
    <xf numFmtId="14" fontId="0" fillId="6" borderId="1" xfId="0" applyNumberFormat="1" applyFill="1" applyBorder="1"/>
    <xf numFmtId="0" fontId="0" fillId="6" borderId="1" xfId="0" applyFill="1" applyBorder="1"/>
    <xf numFmtId="179" fontId="1" fillId="6" borderId="1" xfId="1" applyFill="1" applyBorder="1"/>
    <xf numFmtId="0" fontId="0" fillId="6" borderId="13" xfId="0" applyFill="1" applyBorder="1" applyAlignment="1">
      <alignment horizontal="center"/>
    </xf>
    <xf numFmtId="171" fontId="0" fillId="6" borderId="12" xfId="0" applyNumberFormat="1" applyFill="1" applyBorder="1"/>
    <xf numFmtId="14" fontId="0" fillId="6" borderId="13" xfId="0" applyNumberFormat="1" applyFill="1" applyBorder="1" applyAlignment="1">
      <alignment horizontal="center"/>
    </xf>
    <xf numFmtId="14" fontId="0" fillId="6" borderId="13" xfId="0" applyNumberFormat="1" applyFill="1" applyBorder="1"/>
    <xf numFmtId="0" fontId="0" fillId="6" borderId="13" xfId="0" applyFill="1" applyBorder="1"/>
    <xf numFmtId="0" fontId="6" fillId="4" borderId="14" xfId="0" applyFont="1" applyFill="1" applyBorder="1" applyAlignment="1">
      <alignment horizontal="left"/>
    </xf>
    <xf numFmtId="0" fontId="5" fillId="4" borderId="15" xfId="0" applyFont="1" applyFill="1" applyBorder="1" applyAlignment="1">
      <alignment horizontal="left"/>
    </xf>
    <xf numFmtId="0" fontId="5" fillId="4" borderId="16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/>
    </xf>
    <xf numFmtId="0" fontId="5" fillId="4" borderId="18" xfId="0" applyFont="1" applyFill="1" applyBorder="1" applyAlignment="1">
      <alignment horizontal="left"/>
    </xf>
    <xf numFmtId="0" fontId="5" fillId="4" borderId="19" xfId="0" applyFont="1" applyFill="1" applyBorder="1" applyAlignment="1">
      <alignment horizontal="left"/>
    </xf>
    <xf numFmtId="0" fontId="2" fillId="4" borderId="20" xfId="0" applyFont="1" applyFill="1" applyBorder="1" applyAlignment="1"/>
    <xf numFmtId="0" fontId="0" fillId="0" borderId="21" xfId="0" applyBorder="1" applyAlignment="1"/>
    <xf numFmtId="0" fontId="0" fillId="0" borderId="22" xfId="0" applyBorder="1" applyAlignment="1"/>
    <xf numFmtId="0" fontId="2" fillId="4" borderId="14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</cellXfs>
  <cellStyles count="2">
    <cellStyle name="K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4:L26"/>
  <sheetViews>
    <sheetView showGridLines="0" tabSelected="1" workbookViewId="0">
      <selection activeCell="K17" sqref="K17"/>
    </sheetView>
  </sheetViews>
  <sheetFormatPr baseColWidth="10" defaultRowHeight="13.2" x14ac:dyDescent="0.25"/>
  <cols>
    <col min="1" max="1" width="28" customWidth="1"/>
    <col min="2" max="2" width="8.6640625" customWidth="1"/>
    <col min="3" max="3" width="11" customWidth="1"/>
    <col min="4" max="4" width="11.5546875" customWidth="1"/>
    <col min="5" max="5" width="8" customWidth="1"/>
    <col min="6" max="6" width="9" customWidth="1"/>
    <col min="7" max="7" width="9.5546875" customWidth="1"/>
    <col min="8" max="8" width="10.88671875" customWidth="1"/>
    <col min="9" max="11" width="13.6640625" customWidth="1"/>
  </cols>
  <sheetData>
    <row r="4" spans="1:11" ht="17.399999999999999" x14ac:dyDescent="0.3">
      <c r="A4" s="1" t="s">
        <v>0</v>
      </c>
      <c r="B4" s="67" t="s">
        <v>33</v>
      </c>
      <c r="C4" s="68"/>
      <c r="D4" s="68"/>
      <c r="E4" s="68"/>
      <c r="F4" s="68"/>
      <c r="G4" s="68"/>
      <c r="H4" s="68"/>
      <c r="I4" s="69"/>
      <c r="J4" s="24"/>
      <c r="K4" s="24"/>
    </row>
    <row r="5" spans="1:11" ht="17.399999999999999" x14ac:dyDescent="0.3">
      <c r="A5" s="1" t="s">
        <v>1</v>
      </c>
      <c r="B5" s="58"/>
      <c r="C5" s="59"/>
      <c r="D5" s="59"/>
      <c r="E5" s="59"/>
      <c r="F5" s="59"/>
      <c r="G5" s="59"/>
      <c r="H5" s="59"/>
      <c r="I5" s="60"/>
      <c r="J5" s="25"/>
      <c r="K5" s="25"/>
    </row>
    <row r="6" spans="1:11" ht="18" thickBot="1" x14ac:dyDescent="0.35">
      <c r="A6" s="1" t="s">
        <v>2</v>
      </c>
      <c r="B6" s="61"/>
      <c r="C6" s="62"/>
      <c r="D6" s="62"/>
      <c r="E6" s="62"/>
      <c r="F6" s="62"/>
      <c r="G6" s="62"/>
      <c r="H6" s="62"/>
      <c r="I6" s="63"/>
      <c r="J6" s="25"/>
      <c r="K6" s="25"/>
    </row>
    <row r="7" spans="1:11" ht="18.75" customHeight="1" thickBot="1" x14ac:dyDescent="0.35">
      <c r="A7" s="1"/>
      <c r="B7" s="64" t="s">
        <v>29</v>
      </c>
      <c r="C7" s="65"/>
      <c r="D7" s="65"/>
      <c r="E7" s="65"/>
      <c r="F7" s="65"/>
      <c r="G7" s="65"/>
      <c r="H7" s="65"/>
      <c r="I7" s="66"/>
      <c r="J7" s="26"/>
      <c r="K7" s="26"/>
    </row>
    <row r="9" spans="1:11" ht="22.8" x14ac:dyDescent="0.4">
      <c r="A9" s="1" t="s">
        <v>3</v>
      </c>
      <c r="B9" s="29" t="s">
        <v>30</v>
      </c>
    </row>
    <row r="10" spans="1:11" ht="55.2" x14ac:dyDescent="0.25">
      <c r="A10" s="5" t="s">
        <v>4</v>
      </c>
      <c r="B10" s="5" t="s">
        <v>8</v>
      </c>
      <c r="C10" s="5" t="s">
        <v>11</v>
      </c>
      <c r="D10" s="5" t="s">
        <v>12</v>
      </c>
      <c r="E10" s="5" t="s">
        <v>25</v>
      </c>
      <c r="F10" s="5" t="s">
        <v>5</v>
      </c>
      <c r="G10" s="5" t="s">
        <v>6</v>
      </c>
      <c r="H10" s="5" t="s">
        <v>18</v>
      </c>
      <c r="I10" s="5" t="s">
        <v>13</v>
      </c>
      <c r="J10" s="5" t="s">
        <v>27</v>
      </c>
      <c r="K10" s="5" t="s">
        <v>26</v>
      </c>
    </row>
    <row r="11" spans="1:11" ht="13.8" x14ac:dyDescent="0.25">
      <c r="A11" s="30" t="s">
        <v>9</v>
      </c>
      <c r="B11" s="39"/>
      <c r="C11" s="40">
        <v>233</v>
      </c>
      <c r="D11" s="41">
        <v>4661</v>
      </c>
      <c r="E11" s="39">
        <v>949</v>
      </c>
      <c r="F11" s="42"/>
      <c r="G11" s="43"/>
      <c r="H11" s="44"/>
      <c r="I11" s="45">
        <f>IF(H11&lt;30,IF(C11*H11&gt;D11,+D11+E11,C11*H11+E11),(D11*H11/30)+E11)*B11</f>
        <v>0</v>
      </c>
      <c r="J11" s="46" t="s">
        <v>37</v>
      </c>
      <c r="K11" s="47"/>
    </row>
    <row r="12" spans="1:11" ht="30.75" customHeight="1" x14ac:dyDescent="0.25">
      <c r="A12" s="31" t="s">
        <v>10</v>
      </c>
      <c r="B12" s="48"/>
      <c r="C12" s="40">
        <v>158</v>
      </c>
      <c r="D12" s="40">
        <v>3164</v>
      </c>
      <c r="E12" s="48">
        <v>949</v>
      </c>
      <c r="F12" s="49"/>
      <c r="G12" s="50"/>
      <c r="H12" s="51"/>
      <c r="I12" s="52">
        <f t="shared" ref="I12:I18" si="0">IF(H12&lt;30,IF(C12*H12&gt;D12,+D12+E12,C12*H12+E12),(D12*H12/30)+E12)*B12</f>
        <v>0</v>
      </c>
      <c r="J12" s="46" t="s">
        <v>35</v>
      </c>
      <c r="K12" s="47"/>
    </row>
    <row r="13" spans="1:11" ht="30.75" customHeight="1" x14ac:dyDescent="0.25">
      <c r="A13" s="31" t="s">
        <v>22</v>
      </c>
      <c r="B13" s="48"/>
      <c r="C13" s="40">
        <v>8435</v>
      </c>
      <c r="D13" s="40">
        <v>168700</v>
      </c>
      <c r="E13" s="48">
        <v>11081</v>
      </c>
      <c r="F13" s="49"/>
      <c r="G13" s="50"/>
      <c r="H13" s="51"/>
      <c r="I13" s="52">
        <f t="shared" si="0"/>
        <v>0</v>
      </c>
      <c r="J13" s="46" t="s">
        <v>38</v>
      </c>
      <c r="K13" s="47"/>
    </row>
    <row r="14" spans="1:11" ht="13.8" x14ac:dyDescent="0.25">
      <c r="A14" s="31" t="s">
        <v>14</v>
      </c>
      <c r="B14" s="48"/>
      <c r="C14" s="48">
        <v>3111</v>
      </c>
      <c r="D14" s="41">
        <v>62209</v>
      </c>
      <c r="E14" s="48">
        <v>5106</v>
      </c>
      <c r="F14" s="49"/>
      <c r="G14" s="50"/>
      <c r="H14" s="51"/>
      <c r="I14" s="52">
        <f t="shared" si="0"/>
        <v>0</v>
      </c>
      <c r="J14" s="46" t="s">
        <v>31</v>
      </c>
      <c r="K14" s="47"/>
    </row>
    <row r="15" spans="1:11" ht="13.8" x14ac:dyDescent="0.25">
      <c r="A15" s="31" t="s">
        <v>23</v>
      </c>
      <c r="B15" s="48"/>
      <c r="C15" s="48">
        <v>233</v>
      </c>
      <c r="D15" s="48">
        <v>4661</v>
      </c>
      <c r="E15" s="48">
        <v>3409</v>
      </c>
      <c r="F15" s="49"/>
      <c r="G15" s="50"/>
      <c r="H15" s="51"/>
      <c r="I15" s="52">
        <f t="shared" si="0"/>
        <v>0</v>
      </c>
      <c r="J15" s="46"/>
      <c r="K15" s="47"/>
    </row>
    <row r="16" spans="1:11" ht="13.8" x14ac:dyDescent="0.25">
      <c r="A16" s="31" t="s">
        <v>17</v>
      </c>
      <c r="B16" s="48"/>
      <c r="C16" s="48">
        <v>1203</v>
      </c>
      <c r="D16" s="48">
        <v>25305</v>
      </c>
      <c r="E16" s="48">
        <v>2407</v>
      </c>
      <c r="F16" s="49"/>
      <c r="G16" s="50"/>
      <c r="H16" s="51"/>
      <c r="I16" s="52">
        <f t="shared" si="0"/>
        <v>0</v>
      </c>
      <c r="J16" s="46" t="s">
        <v>34</v>
      </c>
      <c r="K16" s="47"/>
    </row>
    <row r="17" spans="1:12" x14ac:dyDescent="0.25">
      <c r="A17" s="32" t="s">
        <v>20</v>
      </c>
      <c r="B17" s="53"/>
      <c r="C17" s="54">
        <v>158</v>
      </c>
      <c r="D17" s="54">
        <v>3164</v>
      </c>
      <c r="E17" s="53">
        <v>949</v>
      </c>
      <c r="F17" s="55"/>
      <c r="G17" s="56"/>
      <c r="H17" s="57"/>
      <c r="I17" s="52">
        <f t="shared" si="0"/>
        <v>0</v>
      </c>
      <c r="J17" s="46" t="s">
        <v>36</v>
      </c>
      <c r="K17" s="47"/>
    </row>
    <row r="18" spans="1:12" x14ac:dyDescent="0.25">
      <c r="A18" s="32" t="s">
        <v>21</v>
      </c>
      <c r="B18" s="53"/>
      <c r="C18" s="53">
        <v>11071</v>
      </c>
      <c r="D18" s="53">
        <v>253050</v>
      </c>
      <c r="E18" s="53">
        <v>12913</v>
      </c>
      <c r="F18" s="55"/>
      <c r="G18" s="56"/>
      <c r="H18" s="57"/>
      <c r="I18" s="52">
        <f t="shared" si="0"/>
        <v>0</v>
      </c>
      <c r="J18" s="46" t="s">
        <v>32</v>
      </c>
      <c r="K18" s="47"/>
    </row>
    <row r="19" spans="1:12" s="3" customFormat="1" ht="25.5" customHeight="1" x14ac:dyDescent="0.25">
      <c r="A19" s="33" t="s">
        <v>16</v>
      </c>
      <c r="B19" s="34" t="s">
        <v>15</v>
      </c>
      <c r="C19" s="34" t="s">
        <v>15</v>
      </c>
      <c r="D19" s="34"/>
      <c r="E19" s="34"/>
      <c r="F19" s="35" t="s">
        <v>15</v>
      </c>
      <c r="G19" s="36" t="s">
        <v>15</v>
      </c>
      <c r="H19" s="37" t="s">
        <v>15</v>
      </c>
      <c r="I19" s="38">
        <f>SUM(I11:I18)</f>
        <v>0</v>
      </c>
      <c r="J19" s="38"/>
      <c r="K19" s="38"/>
      <c r="L19" s="4"/>
    </row>
    <row r="20" spans="1:12" ht="17.25" customHeight="1" x14ac:dyDescent="0.25">
      <c r="A20" s="2"/>
      <c r="B20" s="6"/>
      <c r="C20" s="6"/>
      <c r="D20" s="6"/>
      <c r="E20" s="6"/>
      <c r="F20" s="6"/>
      <c r="G20" s="7"/>
    </row>
    <row r="21" spans="1:12" ht="13.8" thickBot="1" x14ac:dyDescent="0.3"/>
    <row r="22" spans="1:12" x14ac:dyDescent="0.25">
      <c r="A22" s="10"/>
      <c r="B22" s="11"/>
      <c r="C22" s="11"/>
      <c r="D22" s="11"/>
      <c r="E22" s="11"/>
      <c r="F22" s="11"/>
      <c r="G22" s="11"/>
      <c r="H22" s="11"/>
      <c r="I22" s="12"/>
      <c r="J22" s="2"/>
      <c r="K22" s="2"/>
    </row>
    <row r="23" spans="1:12" ht="17.399999999999999" x14ac:dyDescent="0.3">
      <c r="A23" s="13" t="s">
        <v>28</v>
      </c>
      <c r="B23" s="8" t="s">
        <v>24</v>
      </c>
      <c r="C23" s="9"/>
      <c r="D23" s="8"/>
      <c r="E23" s="2"/>
      <c r="F23" s="2"/>
      <c r="G23" s="14" t="s">
        <v>19</v>
      </c>
      <c r="H23" s="23"/>
      <c r="I23" s="15"/>
      <c r="J23" s="2"/>
      <c r="K23" s="2"/>
    </row>
    <row r="24" spans="1:12" x14ac:dyDescent="0.25">
      <c r="A24" s="16"/>
      <c r="B24" s="2"/>
      <c r="C24" s="2"/>
      <c r="D24" s="2"/>
      <c r="E24" s="2"/>
      <c r="F24" s="2"/>
      <c r="G24" s="17"/>
      <c r="H24" s="2"/>
      <c r="I24" s="18"/>
      <c r="J24" s="2"/>
      <c r="K24" s="2"/>
    </row>
    <row r="25" spans="1:12" ht="17.399999999999999" x14ac:dyDescent="0.3">
      <c r="A25" s="13" t="s">
        <v>7</v>
      </c>
      <c r="B25" s="8"/>
      <c r="C25" s="27"/>
      <c r="D25" s="28"/>
      <c r="E25" s="19"/>
      <c r="F25" s="2"/>
      <c r="G25" s="14" t="s">
        <v>7</v>
      </c>
      <c r="H25" s="8"/>
      <c r="I25" s="15"/>
      <c r="J25" s="2"/>
      <c r="K25" s="2"/>
    </row>
    <row r="26" spans="1:12" ht="13.8" thickBot="1" x14ac:dyDescent="0.3">
      <c r="A26" s="20"/>
      <c r="B26" s="21"/>
      <c r="C26" s="21"/>
      <c r="D26" s="21"/>
      <c r="E26" s="21"/>
      <c r="F26" s="21"/>
      <c r="G26" s="21"/>
      <c r="H26" s="21"/>
      <c r="I26" s="22"/>
      <c r="J26" s="2"/>
      <c r="K26" s="2"/>
    </row>
  </sheetData>
  <mergeCells count="4">
    <mergeCell ref="B5:I5"/>
    <mergeCell ref="B6:I6"/>
    <mergeCell ref="B7:I7"/>
    <mergeCell ref="B4:I4"/>
  </mergeCells>
  <phoneticPr fontId="0" type="noConversion"/>
  <pageMargins left="0.43" right="0.42" top="0.98425196850393704" bottom="0.98425196850393704" header="0.51181102362204722" footer="0.51181102362204722"/>
  <pageSetup paperSize="9" scale="70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ke_x0020_nr xmlns="97796e02-7b43-4409-a2b8-55e4a0caa4dd" xsi:nil="true"/>
    <Installasjon xmlns="97796e02-7b43-4409-a2b8-55e4a0caa4dd">
      <Value>N/A</Value>
    </Installasjon>
    <j25543a5815d485da9a5e0773ad762e9 xmlns="97796e02-7b43-4409-a2b8-55e4a0caa4dd">
      <Terms xmlns="http://schemas.microsoft.com/office/infopath/2007/PartnerControls">
        <TermInfo xmlns="http://schemas.microsoft.com/office/infopath/2007/PartnerControls">
          <TermName xmlns="http://schemas.microsoft.com/office/infopath/2007/PartnerControls">Konsept</TermName>
          <TermId xmlns="http://schemas.microsoft.com/office/infopath/2007/PartnerControls">99e85650-33de-4af4-b8db-edffbc8a310b</TermId>
        </TermInfo>
      </Terms>
    </j25543a5815d485da9a5e0773ad762e9>
    <be438cd874c24a57b2d07aa763068543 xmlns="97796e02-7b43-4409-a2b8-55e4a0caa4dd">
      <Terms xmlns="http://schemas.microsoft.com/office/infopath/2007/PartnerControls">
        <TermInfo xmlns="http://schemas.microsoft.com/office/infopath/2007/PartnerControls">
          <TermName xmlns="http://schemas.microsoft.com/office/infopath/2007/PartnerControls">Sjekkliste</TermName>
          <TermId xmlns="http://schemas.microsoft.com/office/infopath/2007/PartnerControls">d7c343f3-e038-43fb-b167-101c1749048a</TermId>
        </TermInfo>
      </Terms>
    </be438cd874c24a57b2d07aa763068543>
    <m31ece5269664ebbbba4c348956be4d8 xmlns="97796e02-7b43-4409-a2b8-55e4a0caa4dd">
      <Terms xmlns="http://schemas.microsoft.com/office/infopath/2007/PartnerControls"/>
    </m31ece5269664ebbbba4c348956be4d8>
    <Klassifisering xmlns="97796e02-7b43-4409-a2b8-55e4a0caa4dd">Åpent</Klassifisering>
    <TaxCatchAll xmlns="0b498c04-8c52-44c7-b578-0c4283b776a3">
      <Value>6</Value>
      <Value>136</Value>
      <Value>31</Value>
      <Value>2</Value>
    </TaxCatchAll>
    <ea05255b1def4b01af5ec2f1be522c47 xmlns="97796e02-7b43-4409-a2b8-55e4a0caa4dd">
      <Terms xmlns="http://schemas.microsoft.com/office/infopath/2007/PartnerControls"/>
    </ea05255b1def4b01af5ec2f1be522c47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Prosjekt Dokumentasjon" ma:contentTypeID="0x010100293FDE3FCADA480B9A77BBDAD7DFA28C01010400EA5598FF6837694287A66025EC098EEA" ma:contentTypeVersion="28" ma:contentTypeDescription="" ma:contentTypeScope="" ma:versionID="9e23ecefc476410e240100e518f6eb6e">
  <xsd:schema xmlns:xsd="http://www.w3.org/2001/XMLSchema" xmlns:xs="http://www.w3.org/2001/XMLSchema" xmlns:p="http://schemas.microsoft.com/office/2006/metadata/properties" xmlns:ns2="97796e02-7b43-4409-a2b8-55e4a0caa4dd" xmlns:ns3="0b498c04-8c52-44c7-b578-0c4283b776a3" targetNamespace="http://schemas.microsoft.com/office/2006/metadata/properties" ma:root="true" ma:fieldsID="1680cf5bc2566dae1d589ec21be3eb7f" ns2:_="" ns3:_="">
    <xsd:import namespace="97796e02-7b43-4409-a2b8-55e4a0caa4dd"/>
    <xsd:import namespace="0b498c04-8c52-44c7-b578-0c4283b776a3"/>
    <xsd:element name="properties">
      <xsd:complexType>
        <xsd:sequence>
          <xsd:element name="documentManagement">
            <xsd:complexType>
              <xsd:all>
                <xsd:element ref="ns2:Klassifisering" minOccurs="0"/>
                <xsd:element ref="ns2:Uke_x0020_nr" minOccurs="0"/>
                <xsd:element ref="ns2:Installasjon" minOccurs="0"/>
                <xsd:element ref="ns2:be438cd874c24a57b2d07aa763068543" minOccurs="0"/>
                <xsd:element ref="ns2:ea05255b1def4b01af5ec2f1be522c47" minOccurs="0"/>
                <xsd:element ref="ns2:j25543a5815d485da9a5e0773ad762e9" minOccurs="0"/>
                <xsd:element ref="ns3:TaxCatchAll" minOccurs="0"/>
                <xsd:element ref="ns2:m31ece5269664ebbbba4c348956be4d8" minOccurs="0"/>
                <xsd:element ref="ns3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796e02-7b43-4409-a2b8-55e4a0caa4dd" elementFormDefault="qualified">
    <xsd:import namespace="http://schemas.microsoft.com/office/2006/documentManagement/types"/>
    <xsd:import namespace="http://schemas.microsoft.com/office/infopath/2007/PartnerControls"/>
    <xsd:element name="Klassifisering" ma:index="7" nillable="true" ma:displayName="Klassifisering" ma:default="Åpent" ma:format="Dropdown" ma:internalName="Klassifisering">
      <xsd:simpleType>
        <xsd:restriction base="dms:Choice">
          <xsd:enumeration value="Åpent"/>
          <xsd:enumeration value="Internt"/>
          <xsd:enumeration value="Konfidensiell Internt"/>
          <xsd:enumeration value="Sensitiv"/>
        </xsd:restriction>
      </xsd:simpleType>
    </xsd:element>
    <xsd:element name="Uke_x0020_nr" ma:index="9" nillable="true" ma:displayName="Uke nr" ma:decimals="0" ma:internalName="Uke_x0020_nr">
      <xsd:simpleType>
        <xsd:restriction base="dms:Number">
          <xsd:maxInclusive value="53"/>
          <xsd:minInclusive value="1"/>
        </xsd:restriction>
      </xsd:simpleType>
    </xsd:element>
    <xsd:element name="Installasjon" ma:index="11" nillable="true" ma:displayName="Installasjon" ma:default="N/A" ma:internalName="Installasjon" ma:readOnly="fals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Draupner"/>
                    <xsd:enumeration value="Grane"/>
                    <xsd:enumeration value="GFA"/>
                    <xsd:enumeration value="GFB"/>
                    <xsd:enumeration value="GFC"/>
                    <xsd:enumeration value="Kvitebjørn"/>
                    <xsd:enumeration value="SFA"/>
                    <xsd:enumeration value="SFB"/>
                    <xsd:enumeration value="SFC"/>
                    <xsd:enumeration value="Valemon"/>
                    <xsd:enumeration value="Visund"/>
                    <xsd:enumeration value="N/A"/>
                  </xsd:restriction>
                </xsd:simpleType>
              </xsd:element>
            </xsd:sequence>
          </xsd:extension>
        </xsd:complexContent>
      </xsd:complexType>
    </xsd:element>
    <xsd:element name="be438cd874c24a57b2d07aa763068543" ma:index="12" ma:taxonomy="true" ma:internalName="be438cd874c24a57b2d07aa763068543" ma:taxonomyFieldName="Prosjektaktivitet" ma:displayName="Prosjektaktivitet" ma:readOnly="false" ma:default="" ma:fieldId="{be438cd8-74c2-4a57-b2d0-7aa763068543}" ma:sspId="38238b15-fc0e-45d3-9bb5-873417e9b0ee" ma:termSetId="bb642a42-16a0-4579-bb12-769d94c682d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a05255b1def4b01af5ec2f1be522c47" ma:index="17" nillable="true" ma:taxonomy="true" ma:internalName="ea05255b1def4b01af5ec2f1be522c47" ma:taxonomyFieldName="Disiplin" ma:displayName="Disiplin" ma:readOnly="false" ma:default="" ma:fieldId="{ea05255b-1def-4b01-af5e-c2f1be522c47}" ma:sspId="38238b15-fc0e-45d3-9bb5-873417e9b0ee" ma:termSetId="93289846-9b71-4f32-a450-ac31af41873c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j25543a5815d485da9a5e0773ad762e9" ma:index="19" ma:taxonomy="true" ma:internalName="j25543a5815d485da9a5e0773ad762e9" ma:taxonomyFieldName="GtProjectPhase" ma:displayName="Fase" ma:indexed="true" ma:readOnly="false" ma:fieldId="{325543a5-815d-485d-a9a5-e0773ad762e9}" ma:sspId="38238b15-fc0e-45d3-9bb5-873417e9b0ee" ma:termSetId="abcfc9d9-a263-4abb-8234-be973c46258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31ece5269664ebbbba4c348956be4d8" ma:index="22" nillable="true" ma:taxonomy="true" ma:internalName="m31ece5269664ebbbba4c348956be4d8" ma:taxonomyFieldName="mnd" ma:displayName="mnd" ma:default="" ma:fieldId="{631ece52-6966-4ebb-bba4-c348956be4d8}" ma:sspId="38238b15-fc0e-45d3-9bb5-873417e9b0ee" ma:termSetId="543b5090-1037-4614-a997-d9f030ec36fa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498c04-8c52-44c7-b578-0c4283b776a3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description="" ma:hidden="true" ma:list="{8798837d-50af-4ec0-8688-e4c64b3023c8}" ma:internalName="TaxCatchAll" ma:showField="CatchAllData" ma:web="97796e02-7b43-4409-a2b8-55e4a0caa4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3" nillable="true" ma:displayName="Taxonomy Catch All Column1" ma:description="" ma:hidden="true" ma:list="{8798837d-50af-4ec0-8688-e4c64b3023c8}" ma:internalName="TaxCatchAllLabel" ma:readOnly="true" ma:showField="CatchAllDataLabel" ma:web="97796e02-7b43-4409-a2b8-55e4a0caa4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Innholdstype"/>
        <xsd:element ref="dc:title" minOccurs="0" maxOccurs="1" ma:index="1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DA552F-2495-415E-98D5-BF6035EAFD63}">
  <ds:schemaRefs>
    <ds:schemaRef ds:uri="http://schemas.microsoft.com/office/2006/metadata/customXsn"/>
  </ds:schemaRefs>
</ds:datastoreItem>
</file>

<file path=customXml/itemProps2.xml><?xml version="1.0" encoding="utf-8"?>
<ds:datastoreItem xmlns:ds="http://schemas.openxmlformats.org/officeDocument/2006/customXml" ds:itemID="{4EAD6E87-0D04-449C-8002-41FCCAD4CB72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4D7849C-C59E-45F6-A5A8-423609F0136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799ED78-DBC7-4A6E-9C0B-5AFE45A692FD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  <ds:schemaRef ds:uri="http://www.w3.org/XML/1998/namespace"/>
    <ds:schemaRef ds:uri="0b498c04-8c52-44c7-b578-0c4283b776a3"/>
    <ds:schemaRef ds:uri="97796e02-7b43-4409-a2b8-55e4a0caa4dd"/>
    <ds:schemaRef ds:uri="http://schemas.microsoft.com/office/2006/metadata/properties"/>
  </ds:schemaRefs>
</ds:datastoreItem>
</file>

<file path=customXml/itemProps5.xml><?xml version="1.0" encoding="utf-8"?>
<ds:datastoreItem xmlns:ds="http://schemas.openxmlformats.org/officeDocument/2006/customXml" ds:itemID="{902C3A35-933B-4BE5-AF84-789FE527F1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796e02-7b43-4409-a2b8-55e4a0caa4dd"/>
    <ds:schemaRef ds:uri="0b498c04-8c52-44c7-b578-0c4283b776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Utstyr leie</vt:lpstr>
    </vt:vector>
  </TitlesOfParts>
  <Company>Dalseide &amp; Fløysand Group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Administrator</dc:creator>
  <cp:lastModifiedBy>Ole Bergtun</cp:lastModifiedBy>
  <cp:lastPrinted>2012-05-25T06:39:26Z</cp:lastPrinted>
  <dcterms:created xsi:type="dcterms:W3CDTF">2004-03-31T06:59:52Z</dcterms:created>
  <dcterms:modified xsi:type="dcterms:W3CDTF">2016-09-16T12:20:29Z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Område">
    <vt:lpwstr>Engineering</vt:lpwstr>
  </property>
  <property fmtid="{D5CDD505-2E9C-101B-9397-08002B2CF9AE}" pid="4" name="Dokumenttype">
    <vt:lpwstr>Beregning</vt:lpwstr>
  </property>
  <property fmtid="{D5CDD505-2E9C-101B-9397-08002B2CF9AE}" pid="5" name="Status">
    <vt:lpwstr>Ferdig</vt:lpwstr>
  </property>
  <property fmtid="{D5CDD505-2E9C-101B-9397-08002B2CF9AE}" pid="6" name="Site">
    <vt:lpwstr>VIS</vt:lpwstr>
  </property>
  <property fmtid="{D5CDD505-2E9C-101B-9397-08002B2CF9AE}" pid="7" name="DagensDato">
    <vt:lpwstr>2009-02-04T00:00:00Z</vt:lpwstr>
  </property>
  <property fmtid="{D5CDD505-2E9C-101B-9397-08002B2CF9AE}" pid="8" name="Type Dokument">
    <vt:lpwstr/>
  </property>
  <property fmtid="{D5CDD505-2E9C-101B-9397-08002B2CF9AE}" pid="9" name="Jobbpakke">
    <vt:lpwstr/>
  </property>
  <property fmtid="{D5CDD505-2E9C-101B-9397-08002B2CF9AE}" pid="10" name="display_urn:schemas-microsoft-com:office:office#Editor">
    <vt:lpwstr>Ove Brensdal</vt:lpwstr>
  </property>
  <property fmtid="{D5CDD505-2E9C-101B-9397-08002B2CF9AE}" pid="11" name="_Status">
    <vt:lpwstr>Ferdig</vt:lpwstr>
  </property>
  <property fmtid="{D5CDD505-2E9C-101B-9397-08002B2CF9AE}" pid="12" name="display_urn:schemas-microsoft-com:office:office#Author">
    <vt:lpwstr>Ove Brensdal</vt:lpwstr>
  </property>
  <property fmtid="{D5CDD505-2E9C-101B-9397-08002B2CF9AE}" pid="13" name="ContentTypeId">
    <vt:lpwstr>0x010100293FDE3FCADA480B9A77BBDAD7DFA28C01010400EA5598FF6837694287A66025EC098EEA</vt:lpwstr>
  </property>
  <property fmtid="{D5CDD505-2E9C-101B-9397-08002B2CF9AE}" pid="14" name="ContentType">
    <vt:lpwstr>dfg dok</vt:lpwstr>
  </property>
  <property fmtid="{D5CDD505-2E9C-101B-9397-08002B2CF9AE}" pid="15" name="Bestilling sendt Kokstad">
    <vt:lpwstr>1</vt:lpwstr>
  </property>
  <property fmtid="{D5CDD505-2E9C-101B-9397-08002B2CF9AE}" pid="16" name="TaxKeywordTaxHTField">
    <vt:lpwstr/>
  </property>
  <property fmtid="{D5CDD505-2E9C-101B-9397-08002B2CF9AE}" pid="17" name="Prosjektaktivitet">
    <vt:lpwstr>31;#Sjekkliste|d7c343f3-e038-43fb-b167-101c1749048a</vt:lpwstr>
  </property>
  <property fmtid="{D5CDD505-2E9C-101B-9397-08002B2CF9AE}" pid="18" name="TaxKeyword">
    <vt:lpwstr/>
  </property>
  <property fmtid="{D5CDD505-2E9C-101B-9397-08002B2CF9AE}" pid="19" name="GtProjectPhase">
    <vt:lpwstr>6;#Konsept|99e85650-33de-4af4-b8db-edffbc8a310b</vt:lpwstr>
  </property>
  <property fmtid="{D5CDD505-2E9C-101B-9397-08002B2CF9AE}" pid="20" name="Disiplin">
    <vt:lpwstr/>
  </property>
  <property fmtid="{D5CDD505-2E9C-101B-9397-08002B2CF9AE}" pid="21" name="oe08b09205fb4ac991352d96f68a9393">
    <vt:lpwstr>Governing Document (GOV)|582f1550-29aa-45b2-900c-6a75fd3c3046</vt:lpwstr>
  </property>
  <property fmtid="{D5CDD505-2E9C-101B-9397-08002B2CF9AE}" pid="22" name="ha982e78c8664116b74e34299ad6389d">
    <vt:lpwstr>Internt|b8dbabc9-955d-42a1-bd77-cb42ffbbb3e7</vt:lpwstr>
  </property>
  <property fmtid="{D5CDD505-2E9C-101B-9397-08002B2CF9AE}" pid="23" name="mnd">
    <vt:lpwstr/>
  </property>
  <property fmtid="{D5CDD505-2E9C-101B-9397-08002B2CF9AE}" pid="24" name="Location1">
    <vt:lpwstr>2;#Governing Document (GOV)|582f1550-29aa-45b2-900c-6a75fd3c3046</vt:lpwstr>
  </property>
  <property fmtid="{D5CDD505-2E9C-101B-9397-08002B2CF9AE}" pid="25" name="Classification">
    <vt:lpwstr>136;#Internt|b8dbabc9-955d-42a1-bd77-cb42ffbbb3e7</vt:lpwstr>
  </property>
</Properties>
</file>